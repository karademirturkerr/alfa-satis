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alfa-satis\"/>
    </mc:Choice>
  </mc:AlternateContent>
  <bookViews>
    <workbookView minimized="1" xWindow="0" yWindow="0" windowWidth="23040" windowHeight="9384" activeTab="1"/>
  </bookViews>
  <sheets>
    <sheet name="Urunler" sheetId="1" r:id="rId1"/>
    <sheet name="Gunluk Satis" sheetId="2" r:id="rId2"/>
  </sheets>
  <calcPr calcId="152511"/>
  <fileRecoveryPr repairLoad="1"/>
</workbook>
</file>

<file path=xl/calcChain.xml><?xml version="1.0" encoding="utf-8"?>
<calcChain xmlns="http://schemas.openxmlformats.org/spreadsheetml/2006/main">
  <c r="D205" i="2" l="1"/>
  <c r="G205" i="2" s="1"/>
  <c r="C205" i="2"/>
  <c r="F205" i="2" s="1"/>
  <c r="D204" i="2"/>
  <c r="G204" i="2" s="1"/>
  <c r="C204" i="2"/>
  <c r="F204" i="2" s="1"/>
  <c r="D203" i="2"/>
  <c r="G203" i="2" s="1"/>
  <c r="C203" i="2"/>
  <c r="F203" i="2" s="1"/>
  <c r="G202" i="2"/>
  <c r="D202" i="2"/>
  <c r="C202" i="2"/>
  <c r="F202" i="2" s="1"/>
  <c r="F201" i="2"/>
  <c r="D201" i="2"/>
  <c r="G201" i="2" s="1"/>
  <c r="C201" i="2"/>
  <c r="G200" i="2"/>
  <c r="D200" i="2"/>
  <c r="C200" i="2"/>
  <c r="F200" i="2" s="1"/>
  <c r="F199" i="2"/>
  <c r="D199" i="2"/>
  <c r="G199" i="2" s="1"/>
  <c r="C199" i="2"/>
  <c r="G198" i="2"/>
  <c r="D198" i="2"/>
  <c r="C198" i="2"/>
  <c r="F198" i="2" s="1"/>
  <c r="F197" i="2"/>
  <c r="D197" i="2"/>
  <c r="G197" i="2" s="1"/>
  <c r="C197" i="2"/>
  <c r="G196" i="2"/>
  <c r="D196" i="2"/>
  <c r="C196" i="2"/>
  <c r="F196" i="2" s="1"/>
  <c r="F195" i="2"/>
  <c r="D195" i="2"/>
  <c r="G195" i="2" s="1"/>
  <c r="C195" i="2"/>
  <c r="G194" i="2"/>
  <c r="D194" i="2"/>
  <c r="C194" i="2"/>
  <c r="F194" i="2" s="1"/>
  <c r="F193" i="2"/>
  <c r="D193" i="2"/>
  <c r="G193" i="2" s="1"/>
  <c r="C193" i="2"/>
  <c r="G192" i="2"/>
  <c r="D192" i="2"/>
  <c r="C192" i="2"/>
  <c r="F192" i="2" s="1"/>
  <c r="F191" i="2"/>
  <c r="D191" i="2"/>
  <c r="G191" i="2" s="1"/>
  <c r="C191" i="2"/>
  <c r="G190" i="2"/>
  <c r="D190" i="2"/>
  <c r="C190" i="2"/>
  <c r="F190" i="2" s="1"/>
  <c r="F189" i="2"/>
  <c r="D189" i="2"/>
  <c r="G189" i="2" s="1"/>
  <c r="C189" i="2"/>
  <c r="G188" i="2"/>
  <c r="D188" i="2"/>
  <c r="C188" i="2"/>
  <c r="F188" i="2" s="1"/>
  <c r="F187" i="2"/>
  <c r="D187" i="2"/>
  <c r="G187" i="2" s="1"/>
  <c r="C187" i="2"/>
  <c r="G186" i="2"/>
  <c r="D186" i="2"/>
  <c r="C186" i="2"/>
  <c r="F186" i="2" s="1"/>
  <c r="F185" i="2"/>
  <c r="D185" i="2"/>
  <c r="G185" i="2" s="1"/>
  <c r="C185" i="2"/>
  <c r="G184" i="2"/>
  <c r="D184" i="2"/>
  <c r="C184" i="2"/>
  <c r="F184" i="2" s="1"/>
  <c r="F183" i="2"/>
  <c r="D183" i="2"/>
  <c r="G183" i="2" s="1"/>
  <c r="C183" i="2"/>
  <c r="G182" i="2"/>
  <c r="D182" i="2"/>
  <c r="C182" i="2"/>
  <c r="F182" i="2" s="1"/>
  <c r="F181" i="2"/>
  <c r="D181" i="2"/>
  <c r="G181" i="2" s="1"/>
  <c r="C181" i="2"/>
  <c r="G180" i="2"/>
  <c r="D180" i="2"/>
  <c r="C180" i="2"/>
  <c r="F180" i="2" s="1"/>
  <c r="F179" i="2"/>
  <c r="D179" i="2"/>
  <c r="G179" i="2" s="1"/>
  <c r="C179" i="2"/>
  <c r="G178" i="2"/>
  <c r="D178" i="2"/>
  <c r="C178" i="2"/>
  <c r="F178" i="2" s="1"/>
  <c r="F177" i="2"/>
  <c r="D177" i="2"/>
  <c r="G177" i="2" s="1"/>
  <c r="C177" i="2"/>
  <c r="G176" i="2"/>
  <c r="D176" i="2"/>
  <c r="C176" i="2"/>
  <c r="F176" i="2" s="1"/>
  <c r="F175" i="2"/>
  <c r="D175" i="2"/>
  <c r="G175" i="2" s="1"/>
  <c r="C175" i="2"/>
  <c r="G174" i="2"/>
  <c r="D174" i="2"/>
  <c r="C174" i="2"/>
  <c r="F174" i="2" s="1"/>
  <c r="F173" i="2"/>
  <c r="D173" i="2"/>
  <c r="G173" i="2" s="1"/>
  <c r="C173" i="2"/>
  <c r="G172" i="2"/>
  <c r="D172" i="2"/>
  <c r="C172" i="2"/>
  <c r="F172" i="2" s="1"/>
  <c r="F171" i="2"/>
  <c r="D171" i="2"/>
  <c r="G171" i="2" s="1"/>
  <c r="C171" i="2"/>
  <c r="G170" i="2"/>
  <c r="D170" i="2"/>
  <c r="C170" i="2"/>
  <c r="F170" i="2" s="1"/>
  <c r="F169" i="2"/>
  <c r="D169" i="2"/>
  <c r="G169" i="2" s="1"/>
  <c r="C169" i="2"/>
  <c r="G168" i="2"/>
  <c r="D168" i="2"/>
  <c r="C168" i="2"/>
  <c r="F168" i="2" s="1"/>
  <c r="F167" i="2"/>
  <c r="D167" i="2"/>
  <c r="G167" i="2" s="1"/>
  <c r="C167" i="2"/>
  <c r="G166" i="2"/>
  <c r="D166" i="2"/>
  <c r="C166" i="2"/>
  <c r="F166" i="2" s="1"/>
  <c r="F165" i="2"/>
  <c r="D165" i="2"/>
  <c r="G165" i="2" s="1"/>
  <c r="C165" i="2"/>
  <c r="G164" i="2"/>
  <c r="D164" i="2"/>
  <c r="C164" i="2"/>
  <c r="F164" i="2" s="1"/>
  <c r="F163" i="2"/>
  <c r="D163" i="2"/>
  <c r="G163" i="2" s="1"/>
  <c r="C163" i="2"/>
  <c r="G162" i="2"/>
  <c r="D162" i="2"/>
  <c r="C162" i="2"/>
  <c r="F162" i="2" s="1"/>
  <c r="F161" i="2"/>
  <c r="D161" i="2"/>
  <c r="G161" i="2" s="1"/>
  <c r="C161" i="2"/>
  <c r="G160" i="2"/>
  <c r="D160" i="2"/>
  <c r="C160" i="2"/>
  <c r="F160" i="2" s="1"/>
  <c r="F159" i="2"/>
  <c r="D159" i="2"/>
  <c r="G159" i="2" s="1"/>
  <c r="C159" i="2"/>
  <c r="G158" i="2"/>
  <c r="D158" i="2"/>
  <c r="C158" i="2"/>
  <c r="F158" i="2" s="1"/>
  <c r="F157" i="2"/>
  <c r="D157" i="2"/>
  <c r="G157" i="2" s="1"/>
  <c r="C157" i="2"/>
  <c r="G156" i="2"/>
  <c r="D156" i="2"/>
  <c r="C156" i="2"/>
  <c r="F156" i="2" s="1"/>
  <c r="F155" i="2"/>
  <c r="D155" i="2"/>
  <c r="G155" i="2" s="1"/>
  <c r="C155" i="2"/>
  <c r="G154" i="2"/>
  <c r="D154" i="2"/>
  <c r="C154" i="2"/>
  <c r="F154" i="2" s="1"/>
  <c r="F153" i="2"/>
  <c r="D153" i="2"/>
  <c r="G153" i="2" s="1"/>
  <c r="C153" i="2"/>
  <c r="G152" i="2"/>
  <c r="D152" i="2"/>
  <c r="C152" i="2"/>
  <c r="F152" i="2" s="1"/>
  <c r="F151" i="2"/>
  <c r="D151" i="2"/>
  <c r="G151" i="2" s="1"/>
  <c r="C151" i="2"/>
  <c r="G150" i="2"/>
  <c r="D150" i="2"/>
  <c r="C150" i="2"/>
  <c r="F150" i="2" s="1"/>
  <c r="F149" i="2"/>
  <c r="D149" i="2"/>
  <c r="G149" i="2" s="1"/>
  <c r="C149" i="2"/>
  <c r="G148" i="2"/>
  <c r="D148" i="2"/>
  <c r="C148" i="2"/>
  <c r="F148" i="2" s="1"/>
  <c r="F147" i="2"/>
  <c r="D147" i="2"/>
  <c r="G147" i="2" s="1"/>
  <c r="C147" i="2"/>
  <c r="G146" i="2"/>
  <c r="D146" i="2"/>
  <c r="C146" i="2"/>
  <c r="F146" i="2" s="1"/>
  <c r="F145" i="2"/>
  <c r="D145" i="2"/>
  <c r="G145" i="2" s="1"/>
  <c r="C145" i="2"/>
  <c r="G144" i="2"/>
  <c r="D144" i="2"/>
  <c r="C144" i="2"/>
  <c r="F144" i="2" s="1"/>
  <c r="F143" i="2"/>
  <c r="D143" i="2"/>
  <c r="G143" i="2" s="1"/>
  <c r="C143" i="2"/>
  <c r="G142" i="2"/>
  <c r="D142" i="2"/>
  <c r="C142" i="2"/>
  <c r="F142" i="2" s="1"/>
  <c r="F141" i="2"/>
  <c r="D141" i="2"/>
  <c r="G141" i="2" s="1"/>
  <c r="C141" i="2"/>
  <c r="G140" i="2"/>
  <c r="D140" i="2"/>
  <c r="C140" i="2"/>
  <c r="F140" i="2" s="1"/>
  <c r="F139" i="2"/>
  <c r="D139" i="2"/>
  <c r="G139" i="2" s="1"/>
  <c r="C139" i="2"/>
  <c r="G138" i="2"/>
  <c r="D138" i="2"/>
  <c r="C138" i="2"/>
  <c r="F138" i="2" s="1"/>
  <c r="F137" i="2"/>
  <c r="D137" i="2"/>
  <c r="G137" i="2" s="1"/>
  <c r="C137" i="2"/>
  <c r="G136" i="2"/>
  <c r="D136" i="2"/>
  <c r="C136" i="2"/>
  <c r="F136" i="2" s="1"/>
  <c r="F135" i="2"/>
  <c r="D135" i="2"/>
  <c r="G135" i="2" s="1"/>
  <c r="C135" i="2"/>
  <c r="G134" i="2"/>
  <c r="D134" i="2"/>
  <c r="C134" i="2"/>
  <c r="F134" i="2" s="1"/>
  <c r="F133" i="2"/>
  <c r="D133" i="2"/>
  <c r="G133" i="2" s="1"/>
  <c r="C133" i="2"/>
  <c r="G132" i="2"/>
  <c r="D132" i="2"/>
  <c r="C132" i="2"/>
  <c r="F132" i="2" s="1"/>
  <c r="F131" i="2"/>
  <c r="D131" i="2"/>
  <c r="G131" i="2" s="1"/>
  <c r="C131" i="2"/>
  <c r="G130" i="2"/>
  <c r="D130" i="2"/>
  <c r="C130" i="2"/>
  <c r="F130" i="2" s="1"/>
  <c r="F129" i="2"/>
  <c r="D129" i="2"/>
  <c r="G129" i="2" s="1"/>
  <c r="C129" i="2"/>
  <c r="G128" i="2"/>
  <c r="D128" i="2"/>
  <c r="C128" i="2"/>
  <c r="F128" i="2" s="1"/>
  <c r="F127" i="2"/>
  <c r="D127" i="2"/>
  <c r="G127" i="2" s="1"/>
  <c r="C127" i="2"/>
  <c r="G126" i="2"/>
  <c r="D126" i="2"/>
  <c r="C126" i="2"/>
  <c r="F126" i="2" s="1"/>
  <c r="F125" i="2"/>
  <c r="D125" i="2"/>
  <c r="G125" i="2" s="1"/>
  <c r="C125" i="2"/>
  <c r="G124" i="2"/>
  <c r="D124" i="2"/>
  <c r="C124" i="2"/>
  <c r="F124" i="2" s="1"/>
  <c r="F123" i="2"/>
  <c r="D123" i="2"/>
  <c r="G123" i="2" s="1"/>
  <c r="C123" i="2"/>
  <c r="G122" i="2"/>
  <c r="D122" i="2"/>
  <c r="C122" i="2"/>
  <c r="F122" i="2" s="1"/>
  <c r="F121" i="2"/>
  <c r="D121" i="2"/>
  <c r="G121" i="2" s="1"/>
  <c r="C121" i="2"/>
  <c r="G120" i="2"/>
  <c r="D120" i="2"/>
  <c r="C120" i="2"/>
  <c r="F120" i="2" s="1"/>
  <c r="F119" i="2"/>
  <c r="D119" i="2"/>
  <c r="G119" i="2" s="1"/>
  <c r="C119" i="2"/>
  <c r="G118" i="2"/>
  <c r="D118" i="2"/>
  <c r="C118" i="2"/>
  <c r="F118" i="2" s="1"/>
  <c r="F117" i="2"/>
  <c r="D117" i="2"/>
  <c r="G117" i="2" s="1"/>
  <c r="C117" i="2"/>
  <c r="G116" i="2"/>
  <c r="D116" i="2"/>
  <c r="C116" i="2"/>
  <c r="F116" i="2" s="1"/>
  <c r="F115" i="2"/>
  <c r="D115" i="2"/>
  <c r="G115" i="2" s="1"/>
  <c r="C115" i="2"/>
  <c r="G114" i="2"/>
  <c r="D114" i="2"/>
  <c r="C114" i="2"/>
  <c r="F114" i="2" s="1"/>
  <c r="F113" i="2"/>
  <c r="D113" i="2"/>
  <c r="G113" i="2" s="1"/>
  <c r="C113" i="2"/>
  <c r="G112" i="2"/>
  <c r="D112" i="2"/>
  <c r="C112" i="2"/>
  <c r="F112" i="2" s="1"/>
  <c r="F111" i="2"/>
  <c r="D111" i="2"/>
  <c r="G111" i="2" s="1"/>
  <c r="C111" i="2"/>
  <c r="G110" i="2"/>
  <c r="E110" i="2"/>
  <c r="H110" i="2" s="1"/>
  <c r="D110" i="2"/>
  <c r="C110" i="2"/>
  <c r="F110" i="2" s="1"/>
  <c r="I110" i="2" s="1"/>
  <c r="F109" i="2"/>
  <c r="D109" i="2"/>
  <c r="G109" i="2" s="1"/>
  <c r="C109" i="2"/>
  <c r="G108" i="2"/>
  <c r="D108" i="2"/>
  <c r="C108" i="2"/>
  <c r="F108" i="2" s="1"/>
  <c r="F107" i="2"/>
  <c r="D107" i="2"/>
  <c r="G107" i="2" s="1"/>
  <c r="C107" i="2"/>
  <c r="G106" i="2"/>
  <c r="D106" i="2"/>
  <c r="C106" i="2"/>
  <c r="F106" i="2" s="1"/>
  <c r="F105" i="2"/>
  <c r="D105" i="2"/>
  <c r="G105" i="2" s="1"/>
  <c r="C105" i="2"/>
  <c r="G104" i="2"/>
  <c r="D104" i="2"/>
  <c r="C104" i="2"/>
  <c r="F104" i="2" s="1"/>
  <c r="F103" i="2"/>
  <c r="D103" i="2"/>
  <c r="G103" i="2" s="1"/>
  <c r="C103" i="2"/>
  <c r="G102" i="2"/>
  <c r="D102" i="2"/>
  <c r="C102" i="2"/>
  <c r="F102" i="2" s="1"/>
  <c r="F101" i="2"/>
  <c r="D101" i="2"/>
  <c r="G101" i="2" s="1"/>
  <c r="C101" i="2"/>
  <c r="G100" i="2"/>
  <c r="D100" i="2"/>
  <c r="C100" i="2"/>
  <c r="F100" i="2" s="1"/>
  <c r="F99" i="2"/>
  <c r="D99" i="2"/>
  <c r="G99" i="2" s="1"/>
  <c r="C99" i="2"/>
  <c r="G98" i="2"/>
  <c r="D98" i="2"/>
  <c r="C98" i="2"/>
  <c r="F98" i="2" s="1"/>
  <c r="F97" i="2"/>
  <c r="D97" i="2"/>
  <c r="G97" i="2" s="1"/>
  <c r="C97" i="2"/>
  <c r="G96" i="2"/>
  <c r="D96" i="2"/>
  <c r="C96" i="2"/>
  <c r="F96" i="2" s="1"/>
  <c r="F95" i="2"/>
  <c r="D95" i="2"/>
  <c r="G95" i="2" s="1"/>
  <c r="C95" i="2"/>
  <c r="G94" i="2"/>
  <c r="E94" i="2"/>
  <c r="H94" i="2" s="1"/>
  <c r="D94" i="2"/>
  <c r="C94" i="2"/>
  <c r="F94" i="2" s="1"/>
  <c r="I94" i="2" s="1"/>
  <c r="F93" i="2"/>
  <c r="D93" i="2"/>
  <c r="G93" i="2" s="1"/>
  <c r="C93" i="2"/>
  <c r="G92" i="2"/>
  <c r="D92" i="2"/>
  <c r="C92" i="2"/>
  <c r="F92" i="2" s="1"/>
  <c r="F91" i="2"/>
  <c r="D91" i="2"/>
  <c r="G91" i="2" s="1"/>
  <c r="C91" i="2"/>
  <c r="G90" i="2"/>
  <c r="D90" i="2"/>
  <c r="C90" i="2"/>
  <c r="F90" i="2" s="1"/>
  <c r="F89" i="2"/>
  <c r="D89" i="2"/>
  <c r="G89" i="2" s="1"/>
  <c r="C89" i="2"/>
  <c r="G88" i="2"/>
  <c r="D88" i="2"/>
  <c r="C88" i="2"/>
  <c r="F88" i="2" s="1"/>
  <c r="F87" i="2"/>
  <c r="D87" i="2"/>
  <c r="G87" i="2" s="1"/>
  <c r="C87" i="2"/>
  <c r="G86" i="2"/>
  <c r="D86" i="2"/>
  <c r="C86" i="2"/>
  <c r="F86" i="2" s="1"/>
  <c r="F85" i="2"/>
  <c r="D85" i="2"/>
  <c r="G85" i="2" s="1"/>
  <c r="C85" i="2"/>
  <c r="G84" i="2"/>
  <c r="D84" i="2"/>
  <c r="C84" i="2"/>
  <c r="F84" i="2" s="1"/>
  <c r="F83" i="2"/>
  <c r="D83" i="2"/>
  <c r="G83" i="2" s="1"/>
  <c r="C83" i="2"/>
  <c r="G82" i="2"/>
  <c r="D82" i="2"/>
  <c r="C82" i="2"/>
  <c r="F82" i="2" s="1"/>
  <c r="F81" i="2"/>
  <c r="D81" i="2"/>
  <c r="G81" i="2" s="1"/>
  <c r="C81" i="2"/>
  <c r="G80" i="2"/>
  <c r="D80" i="2"/>
  <c r="C80" i="2"/>
  <c r="F80" i="2" s="1"/>
  <c r="F79" i="2"/>
  <c r="D79" i="2"/>
  <c r="G79" i="2" s="1"/>
  <c r="C79" i="2"/>
  <c r="G78" i="2"/>
  <c r="E78" i="2"/>
  <c r="H78" i="2" s="1"/>
  <c r="D78" i="2"/>
  <c r="C78" i="2"/>
  <c r="F78" i="2" s="1"/>
  <c r="I78" i="2" s="1"/>
  <c r="F77" i="2"/>
  <c r="D77" i="2"/>
  <c r="G77" i="2" s="1"/>
  <c r="C77" i="2"/>
  <c r="G76" i="2"/>
  <c r="D76" i="2"/>
  <c r="C76" i="2"/>
  <c r="F76" i="2" s="1"/>
  <c r="F75" i="2"/>
  <c r="D75" i="2"/>
  <c r="G75" i="2" s="1"/>
  <c r="C75" i="2"/>
  <c r="G74" i="2"/>
  <c r="D74" i="2"/>
  <c r="C74" i="2"/>
  <c r="F74" i="2" s="1"/>
  <c r="F73" i="2"/>
  <c r="D73" i="2"/>
  <c r="G73" i="2" s="1"/>
  <c r="C73" i="2"/>
  <c r="E72" i="2"/>
  <c r="H72" i="2" s="1"/>
  <c r="D72" i="2"/>
  <c r="G72" i="2" s="1"/>
  <c r="C72" i="2"/>
  <c r="F72" i="2" s="1"/>
  <c r="D71" i="2"/>
  <c r="G71" i="2" s="1"/>
  <c r="C71" i="2"/>
  <c r="F71" i="2" s="1"/>
  <c r="G70" i="2"/>
  <c r="D70" i="2"/>
  <c r="C70" i="2"/>
  <c r="F70" i="2" s="1"/>
  <c r="E69" i="2"/>
  <c r="H69" i="2" s="1"/>
  <c r="D69" i="2"/>
  <c r="G69" i="2" s="1"/>
  <c r="C69" i="2"/>
  <c r="F69" i="2" s="1"/>
  <c r="D68" i="2"/>
  <c r="G68" i="2" s="1"/>
  <c r="C68" i="2"/>
  <c r="F68" i="2" s="1"/>
  <c r="D67" i="2"/>
  <c r="G67" i="2" s="1"/>
  <c r="C67" i="2"/>
  <c r="F67" i="2" s="1"/>
  <c r="G66" i="2"/>
  <c r="D66" i="2"/>
  <c r="C66" i="2"/>
  <c r="F66" i="2" s="1"/>
  <c r="G65" i="2"/>
  <c r="F65" i="2"/>
  <c r="D65" i="2"/>
  <c r="C65" i="2"/>
  <c r="G64" i="2"/>
  <c r="F64" i="2"/>
  <c r="D64" i="2"/>
  <c r="C64" i="2"/>
  <c r="G63" i="2"/>
  <c r="F63" i="2"/>
  <c r="D63" i="2"/>
  <c r="C63" i="2"/>
  <c r="F62" i="2"/>
  <c r="D62" i="2"/>
  <c r="G62" i="2" s="1"/>
  <c r="C62" i="2"/>
  <c r="E61" i="2"/>
  <c r="H61" i="2" s="1"/>
  <c r="D61" i="2"/>
  <c r="G61" i="2" s="1"/>
  <c r="C61" i="2"/>
  <c r="F61" i="2" s="1"/>
  <c r="I61" i="2" s="1"/>
  <c r="D60" i="2"/>
  <c r="G60" i="2" s="1"/>
  <c r="C60" i="2"/>
  <c r="F60" i="2" s="1"/>
  <c r="D59" i="2"/>
  <c r="G59" i="2" s="1"/>
  <c r="C59" i="2"/>
  <c r="F59" i="2" s="1"/>
  <c r="G58" i="2"/>
  <c r="D58" i="2"/>
  <c r="C58" i="2"/>
  <c r="F58" i="2" s="1"/>
  <c r="G57" i="2"/>
  <c r="F57" i="2"/>
  <c r="D57" i="2"/>
  <c r="C57" i="2"/>
  <c r="G56" i="2"/>
  <c r="F56" i="2"/>
  <c r="D56" i="2"/>
  <c r="C56" i="2"/>
  <c r="G55" i="2"/>
  <c r="F55" i="2"/>
  <c r="D55" i="2"/>
  <c r="C55" i="2"/>
  <c r="F54" i="2"/>
  <c r="D54" i="2"/>
  <c r="G54" i="2" s="1"/>
  <c r="C54" i="2"/>
  <c r="E53" i="2"/>
  <c r="H53" i="2" s="1"/>
  <c r="D53" i="2"/>
  <c r="G53" i="2" s="1"/>
  <c r="C53" i="2"/>
  <c r="F53" i="2" s="1"/>
  <c r="I53" i="2" s="1"/>
  <c r="D52" i="2"/>
  <c r="G52" i="2" s="1"/>
  <c r="C52" i="2"/>
  <c r="F52" i="2" s="1"/>
  <c r="D51" i="2"/>
  <c r="G51" i="2" s="1"/>
  <c r="C51" i="2"/>
  <c r="F51" i="2" s="1"/>
  <c r="G50" i="2"/>
  <c r="D50" i="2"/>
  <c r="C50" i="2"/>
  <c r="F50" i="2" s="1"/>
  <c r="G49" i="2"/>
  <c r="F49" i="2"/>
  <c r="D49" i="2"/>
  <c r="C49" i="2"/>
  <c r="G48" i="2"/>
  <c r="F48" i="2"/>
  <c r="D48" i="2"/>
  <c r="C48" i="2"/>
  <c r="G47" i="2"/>
  <c r="F47" i="2"/>
  <c r="D47" i="2"/>
  <c r="C47" i="2"/>
  <c r="F46" i="2"/>
  <c r="D46" i="2"/>
  <c r="G46" i="2" s="1"/>
  <c r="C46" i="2"/>
  <c r="E45" i="2"/>
  <c r="H45" i="2" s="1"/>
  <c r="D45" i="2"/>
  <c r="G45" i="2" s="1"/>
  <c r="C45" i="2"/>
  <c r="F45" i="2" s="1"/>
  <c r="D44" i="2"/>
  <c r="G44" i="2" s="1"/>
  <c r="C44" i="2"/>
  <c r="F44" i="2" s="1"/>
  <c r="D43" i="2"/>
  <c r="G43" i="2" s="1"/>
  <c r="C43" i="2"/>
  <c r="F43" i="2" s="1"/>
  <c r="G42" i="2"/>
  <c r="D42" i="2"/>
  <c r="C42" i="2"/>
  <c r="F42" i="2" s="1"/>
  <c r="G41" i="2"/>
  <c r="F41" i="2"/>
  <c r="D41" i="2"/>
  <c r="C41" i="2"/>
  <c r="G40" i="2"/>
  <c r="F40" i="2"/>
  <c r="D40" i="2"/>
  <c r="C40" i="2"/>
  <c r="G39" i="2"/>
  <c r="F39" i="2"/>
  <c r="D39" i="2"/>
  <c r="C39" i="2"/>
  <c r="F38" i="2"/>
  <c r="D38" i="2"/>
  <c r="G38" i="2" s="1"/>
  <c r="C38" i="2"/>
  <c r="E37" i="2"/>
  <c r="H37" i="2" s="1"/>
  <c r="D37" i="2"/>
  <c r="G37" i="2" s="1"/>
  <c r="C37" i="2"/>
  <c r="F37" i="2" s="1"/>
  <c r="I37" i="2" s="1"/>
  <c r="D36" i="2"/>
  <c r="G36" i="2" s="1"/>
  <c r="C36" i="2"/>
  <c r="F36" i="2" s="1"/>
  <c r="D35" i="2"/>
  <c r="G35" i="2" s="1"/>
  <c r="C35" i="2"/>
  <c r="F35" i="2" s="1"/>
  <c r="G34" i="2"/>
  <c r="D34" i="2"/>
  <c r="C34" i="2"/>
  <c r="F34" i="2" s="1"/>
  <c r="G33" i="2"/>
  <c r="F33" i="2"/>
  <c r="D33" i="2"/>
  <c r="C33" i="2"/>
  <c r="G32" i="2"/>
  <c r="F32" i="2"/>
  <c r="D32" i="2"/>
  <c r="C32" i="2"/>
  <c r="G31" i="2"/>
  <c r="F31" i="2"/>
  <c r="D31" i="2"/>
  <c r="C31" i="2"/>
  <c r="F30" i="2"/>
  <c r="D30" i="2"/>
  <c r="G30" i="2" s="1"/>
  <c r="C30" i="2"/>
  <c r="E29" i="2"/>
  <c r="H29" i="2" s="1"/>
  <c r="D29" i="2"/>
  <c r="G29" i="2" s="1"/>
  <c r="C29" i="2"/>
  <c r="F29" i="2" s="1"/>
  <c r="D28" i="2"/>
  <c r="G28" i="2" s="1"/>
  <c r="C28" i="2"/>
  <c r="F28" i="2" s="1"/>
  <c r="D27" i="2"/>
  <c r="G27" i="2" s="1"/>
  <c r="C27" i="2"/>
  <c r="F27" i="2" s="1"/>
  <c r="G26" i="2"/>
  <c r="D26" i="2"/>
  <c r="C26" i="2"/>
  <c r="F26" i="2" s="1"/>
  <c r="G25" i="2"/>
  <c r="F25" i="2"/>
  <c r="D25" i="2"/>
  <c r="C25" i="2"/>
  <c r="G24" i="2"/>
  <c r="F24" i="2"/>
  <c r="D24" i="2"/>
  <c r="C24" i="2"/>
  <c r="G23" i="2"/>
  <c r="F23" i="2"/>
  <c r="D23" i="2"/>
  <c r="C23" i="2"/>
  <c r="F22" i="2"/>
  <c r="D22" i="2"/>
  <c r="G22" i="2" s="1"/>
  <c r="C22" i="2"/>
  <c r="E21" i="2"/>
  <c r="H21" i="2" s="1"/>
  <c r="D21" i="2"/>
  <c r="G21" i="2" s="1"/>
  <c r="C21" i="2"/>
  <c r="F21" i="2" s="1"/>
  <c r="D20" i="2"/>
  <c r="G20" i="2" s="1"/>
  <c r="C20" i="2"/>
  <c r="F20" i="2" s="1"/>
  <c r="D19" i="2"/>
  <c r="G19" i="2" s="1"/>
  <c r="C19" i="2"/>
  <c r="F19" i="2" s="1"/>
  <c r="G18" i="2"/>
  <c r="D18" i="2"/>
  <c r="C18" i="2"/>
  <c r="F18" i="2" s="1"/>
  <c r="G17" i="2"/>
  <c r="F17" i="2"/>
  <c r="D17" i="2"/>
  <c r="C17" i="2"/>
  <c r="G16" i="2"/>
  <c r="F16" i="2"/>
  <c r="D16" i="2"/>
  <c r="C16" i="2"/>
  <c r="D15" i="2"/>
  <c r="G15" i="2" s="1"/>
  <c r="C15" i="2"/>
  <c r="F15" i="2" s="1"/>
  <c r="F14" i="2"/>
  <c r="D14" i="2"/>
  <c r="G14" i="2" s="1"/>
  <c r="C14" i="2"/>
  <c r="E13" i="2"/>
  <c r="H13" i="2" s="1"/>
  <c r="D13" i="2"/>
  <c r="G13" i="2" s="1"/>
  <c r="C13" i="2"/>
  <c r="F13" i="2" s="1"/>
  <c r="D12" i="2"/>
  <c r="G12" i="2" s="1"/>
  <c r="C12" i="2"/>
  <c r="F12" i="2" s="1"/>
  <c r="D11" i="2"/>
  <c r="G11" i="2" s="1"/>
  <c r="C11" i="2"/>
  <c r="F11" i="2" s="1"/>
  <c r="D10" i="2"/>
  <c r="G10" i="2" s="1"/>
  <c r="C10" i="2"/>
  <c r="F10" i="2" s="1"/>
  <c r="D9" i="2"/>
  <c r="G9" i="2" s="1"/>
  <c r="C9" i="2"/>
  <c r="F9" i="2" s="1"/>
  <c r="D8" i="2"/>
  <c r="G8" i="2" s="1"/>
  <c r="C8" i="2"/>
  <c r="F8" i="2" s="1"/>
  <c r="D7" i="2"/>
  <c r="G7" i="2" s="1"/>
  <c r="C7" i="2"/>
  <c r="F7" i="2" s="1"/>
  <c r="D6" i="2"/>
  <c r="G6" i="2" s="1"/>
  <c r="C6" i="2"/>
  <c r="F6" i="2" s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68" i="2" s="1"/>
  <c r="H168" i="2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I13" i="2" l="1"/>
  <c r="G2" i="2"/>
  <c r="I32" i="2"/>
  <c r="I21" i="2"/>
  <c r="I16" i="2"/>
  <c r="I45" i="2"/>
  <c r="E2" i="2"/>
  <c r="I69" i="2"/>
  <c r="I72" i="2"/>
  <c r="I55" i="2"/>
  <c r="I29" i="2"/>
  <c r="I31" i="2"/>
  <c r="E12" i="2"/>
  <c r="H12" i="2" s="1"/>
  <c r="I12" i="2" s="1"/>
  <c r="E20" i="2"/>
  <c r="H20" i="2" s="1"/>
  <c r="I20" i="2" s="1"/>
  <c r="E28" i="2"/>
  <c r="H28" i="2" s="1"/>
  <c r="I28" i="2" s="1"/>
  <c r="E36" i="2"/>
  <c r="H36" i="2" s="1"/>
  <c r="I36" i="2" s="1"/>
  <c r="E44" i="2"/>
  <c r="H44" i="2" s="1"/>
  <c r="I44" i="2" s="1"/>
  <c r="E52" i="2"/>
  <c r="H52" i="2" s="1"/>
  <c r="I52" i="2" s="1"/>
  <c r="E60" i="2"/>
  <c r="H60" i="2" s="1"/>
  <c r="I60" i="2" s="1"/>
  <c r="E68" i="2"/>
  <c r="H68" i="2" s="1"/>
  <c r="I68" i="2" s="1"/>
  <c r="E80" i="2"/>
  <c r="H80" i="2" s="1"/>
  <c r="I80" i="2" s="1"/>
  <c r="E96" i="2"/>
  <c r="H96" i="2" s="1"/>
  <c r="I96" i="2" s="1"/>
  <c r="I103" i="2"/>
  <c r="E112" i="2"/>
  <c r="H112" i="2" s="1"/>
  <c r="I112" i="2" s="1"/>
  <c r="E142" i="2"/>
  <c r="H142" i="2" s="1"/>
  <c r="I142" i="2" s="1"/>
  <c r="E144" i="2"/>
  <c r="H144" i="2" s="1"/>
  <c r="E146" i="2"/>
  <c r="H146" i="2" s="1"/>
  <c r="I146" i="2" s="1"/>
  <c r="E160" i="2"/>
  <c r="H160" i="2" s="1"/>
  <c r="I170" i="2"/>
  <c r="E138" i="2"/>
  <c r="H138" i="2" s="1"/>
  <c r="I138" i="2" s="1"/>
  <c r="E11" i="2"/>
  <c r="H11" i="2" s="1"/>
  <c r="I11" i="2" s="1"/>
  <c r="E19" i="2"/>
  <c r="H19" i="2" s="1"/>
  <c r="I19" i="2" s="1"/>
  <c r="E27" i="2"/>
  <c r="H27" i="2" s="1"/>
  <c r="I27" i="2" s="1"/>
  <c r="E35" i="2"/>
  <c r="H35" i="2" s="1"/>
  <c r="I35" i="2" s="1"/>
  <c r="E43" i="2"/>
  <c r="H43" i="2" s="1"/>
  <c r="I43" i="2" s="1"/>
  <c r="E51" i="2"/>
  <c r="H51" i="2" s="1"/>
  <c r="I51" i="2" s="1"/>
  <c r="E59" i="2"/>
  <c r="H59" i="2" s="1"/>
  <c r="I59" i="2" s="1"/>
  <c r="E67" i="2"/>
  <c r="H67" i="2" s="1"/>
  <c r="I67" i="2" s="1"/>
  <c r="E74" i="2"/>
  <c r="H74" i="2" s="1"/>
  <c r="I74" i="2" s="1"/>
  <c r="E82" i="2"/>
  <c r="H82" i="2" s="1"/>
  <c r="I82" i="2" s="1"/>
  <c r="E98" i="2"/>
  <c r="H98" i="2" s="1"/>
  <c r="I98" i="2" s="1"/>
  <c r="E114" i="2"/>
  <c r="H114" i="2" s="1"/>
  <c r="I114" i="2" s="1"/>
  <c r="E150" i="2"/>
  <c r="H150" i="2" s="1"/>
  <c r="I150" i="2" s="1"/>
  <c r="E152" i="2"/>
  <c r="H152" i="2" s="1"/>
  <c r="E154" i="2"/>
  <c r="H154" i="2" s="1"/>
  <c r="I154" i="2" s="1"/>
  <c r="E158" i="2"/>
  <c r="H158" i="2" s="1"/>
  <c r="I158" i="2" s="1"/>
  <c r="I168" i="2"/>
  <c r="E184" i="2"/>
  <c r="H184" i="2" s="1"/>
  <c r="E136" i="2"/>
  <c r="H136" i="2" s="1"/>
  <c r="I136" i="2" s="1"/>
  <c r="E10" i="2"/>
  <c r="H10" i="2" s="1"/>
  <c r="I10" i="2" s="1"/>
  <c r="E18" i="2"/>
  <c r="H18" i="2" s="1"/>
  <c r="I18" i="2" s="1"/>
  <c r="E26" i="2"/>
  <c r="H26" i="2" s="1"/>
  <c r="I26" i="2" s="1"/>
  <c r="E34" i="2"/>
  <c r="H34" i="2" s="1"/>
  <c r="I34" i="2" s="1"/>
  <c r="E42" i="2"/>
  <c r="H42" i="2" s="1"/>
  <c r="I42" i="2" s="1"/>
  <c r="E50" i="2"/>
  <c r="H50" i="2" s="1"/>
  <c r="I50" i="2" s="1"/>
  <c r="E58" i="2"/>
  <c r="H58" i="2" s="1"/>
  <c r="I58" i="2" s="1"/>
  <c r="E66" i="2"/>
  <c r="H66" i="2" s="1"/>
  <c r="I66" i="2" s="1"/>
  <c r="E84" i="2"/>
  <c r="H84" i="2" s="1"/>
  <c r="I84" i="2" s="1"/>
  <c r="E100" i="2"/>
  <c r="H100" i="2" s="1"/>
  <c r="I100" i="2" s="1"/>
  <c r="E116" i="2"/>
  <c r="H116" i="2" s="1"/>
  <c r="I116" i="2" s="1"/>
  <c r="I125" i="2"/>
  <c r="E134" i="2"/>
  <c r="H134" i="2" s="1"/>
  <c r="I134" i="2" s="1"/>
  <c r="I152" i="2"/>
  <c r="I184" i="2"/>
  <c r="E200" i="2"/>
  <c r="H200" i="2" s="1"/>
  <c r="E9" i="2"/>
  <c r="H9" i="2" s="1"/>
  <c r="I9" i="2" s="1"/>
  <c r="E17" i="2"/>
  <c r="H17" i="2" s="1"/>
  <c r="I17" i="2" s="1"/>
  <c r="E25" i="2"/>
  <c r="H25" i="2" s="1"/>
  <c r="I25" i="2" s="1"/>
  <c r="E33" i="2"/>
  <c r="H33" i="2" s="1"/>
  <c r="I33" i="2" s="1"/>
  <c r="E41" i="2"/>
  <c r="H41" i="2" s="1"/>
  <c r="I41" i="2" s="1"/>
  <c r="E49" i="2"/>
  <c r="H49" i="2" s="1"/>
  <c r="I49" i="2" s="1"/>
  <c r="E57" i="2"/>
  <c r="H57" i="2" s="1"/>
  <c r="I57" i="2" s="1"/>
  <c r="E65" i="2"/>
  <c r="H65" i="2" s="1"/>
  <c r="I65" i="2" s="1"/>
  <c r="E86" i="2"/>
  <c r="H86" i="2" s="1"/>
  <c r="I86" i="2" s="1"/>
  <c r="E102" i="2"/>
  <c r="H102" i="2" s="1"/>
  <c r="I102" i="2" s="1"/>
  <c r="E118" i="2"/>
  <c r="H118" i="2" s="1"/>
  <c r="I118" i="2" s="1"/>
  <c r="I127" i="2"/>
  <c r="I189" i="2"/>
  <c r="E201" i="2"/>
  <c r="H201" i="2" s="1"/>
  <c r="I201" i="2" s="1"/>
  <c r="E193" i="2"/>
  <c r="H193" i="2" s="1"/>
  <c r="I193" i="2" s="1"/>
  <c r="E185" i="2"/>
  <c r="H185" i="2" s="1"/>
  <c r="E177" i="2"/>
  <c r="H177" i="2" s="1"/>
  <c r="I177" i="2" s="1"/>
  <c r="E169" i="2"/>
  <c r="H169" i="2" s="1"/>
  <c r="I169" i="2" s="1"/>
  <c r="E161" i="2"/>
  <c r="H161" i="2" s="1"/>
  <c r="E153" i="2"/>
  <c r="H153" i="2" s="1"/>
  <c r="I153" i="2" s="1"/>
  <c r="E145" i="2"/>
  <c r="H145" i="2" s="1"/>
  <c r="E137" i="2"/>
  <c r="H137" i="2" s="1"/>
  <c r="I137" i="2" s="1"/>
  <c r="E129" i="2"/>
  <c r="H129" i="2" s="1"/>
  <c r="I129" i="2" s="1"/>
  <c r="E121" i="2"/>
  <c r="H121" i="2" s="1"/>
  <c r="I121" i="2" s="1"/>
  <c r="E113" i="2"/>
  <c r="H113" i="2" s="1"/>
  <c r="E105" i="2"/>
  <c r="H105" i="2" s="1"/>
  <c r="I105" i="2" s="1"/>
  <c r="E97" i="2"/>
  <c r="H97" i="2" s="1"/>
  <c r="E89" i="2"/>
  <c r="H89" i="2" s="1"/>
  <c r="I89" i="2" s="1"/>
  <c r="E81" i="2"/>
  <c r="H81" i="2" s="1"/>
  <c r="E202" i="2"/>
  <c r="H202" i="2" s="1"/>
  <c r="E194" i="2"/>
  <c r="H194" i="2" s="1"/>
  <c r="I194" i="2" s="1"/>
  <c r="E186" i="2"/>
  <c r="H186" i="2" s="1"/>
  <c r="E178" i="2"/>
  <c r="H178" i="2" s="1"/>
  <c r="I178" i="2" s="1"/>
  <c r="E170" i="2"/>
  <c r="H170" i="2" s="1"/>
  <c r="E162" i="2"/>
  <c r="H162" i="2" s="1"/>
  <c r="E203" i="2"/>
  <c r="H203" i="2" s="1"/>
  <c r="I203" i="2" s="1"/>
  <c r="E195" i="2"/>
  <c r="H195" i="2" s="1"/>
  <c r="E187" i="2"/>
  <c r="H187" i="2" s="1"/>
  <c r="I187" i="2" s="1"/>
  <c r="E179" i="2"/>
  <c r="H179" i="2" s="1"/>
  <c r="I179" i="2" s="1"/>
  <c r="E171" i="2"/>
  <c r="H171" i="2" s="1"/>
  <c r="E163" i="2"/>
  <c r="H163" i="2" s="1"/>
  <c r="I163" i="2" s="1"/>
  <c r="E155" i="2"/>
  <c r="H155" i="2" s="1"/>
  <c r="E147" i="2"/>
  <c r="H147" i="2" s="1"/>
  <c r="E139" i="2"/>
  <c r="H139" i="2" s="1"/>
  <c r="I139" i="2" s="1"/>
  <c r="E131" i="2"/>
  <c r="H131" i="2" s="1"/>
  <c r="I131" i="2" s="1"/>
  <c r="E123" i="2"/>
  <c r="H123" i="2" s="1"/>
  <c r="I123" i="2" s="1"/>
  <c r="E115" i="2"/>
  <c r="H115" i="2" s="1"/>
  <c r="E107" i="2"/>
  <c r="H107" i="2" s="1"/>
  <c r="I107" i="2" s="1"/>
  <c r="E99" i="2"/>
  <c r="H99" i="2" s="1"/>
  <c r="E91" i="2"/>
  <c r="H91" i="2" s="1"/>
  <c r="I91" i="2" s="1"/>
  <c r="E83" i="2"/>
  <c r="H83" i="2" s="1"/>
  <c r="E75" i="2"/>
  <c r="H75" i="2" s="1"/>
  <c r="I75" i="2" s="1"/>
  <c r="E204" i="2"/>
  <c r="H204" i="2" s="1"/>
  <c r="I204" i="2" s="1"/>
  <c r="E196" i="2"/>
  <c r="H196" i="2" s="1"/>
  <c r="I196" i="2" s="1"/>
  <c r="E188" i="2"/>
  <c r="H188" i="2" s="1"/>
  <c r="I188" i="2" s="1"/>
  <c r="E180" i="2"/>
  <c r="H180" i="2" s="1"/>
  <c r="I180" i="2" s="1"/>
  <c r="E172" i="2"/>
  <c r="H172" i="2" s="1"/>
  <c r="I172" i="2" s="1"/>
  <c r="E164" i="2"/>
  <c r="H164" i="2" s="1"/>
  <c r="I164" i="2" s="1"/>
  <c r="E156" i="2"/>
  <c r="H156" i="2" s="1"/>
  <c r="I156" i="2" s="1"/>
  <c r="E148" i="2"/>
  <c r="H148" i="2" s="1"/>
  <c r="I148" i="2" s="1"/>
  <c r="E140" i="2"/>
  <c r="H140" i="2" s="1"/>
  <c r="I140" i="2" s="1"/>
  <c r="E132" i="2"/>
  <c r="H132" i="2" s="1"/>
  <c r="I132" i="2" s="1"/>
  <c r="E124" i="2"/>
  <c r="H124" i="2" s="1"/>
  <c r="I124" i="2" s="1"/>
  <c r="E205" i="2"/>
  <c r="H205" i="2" s="1"/>
  <c r="E197" i="2"/>
  <c r="H197" i="2" s="1"/>
  <c r="E189" i="2"/>
  <c r="H189" i="2" s="1"/>
  <c r="E181" i="2"/>
  <c r="H181" i="2" s="1"/>
  <c r="I181" i="2" s="1"/>
  <c r="E173" i="2"/>
  <c r="H173" i="2" s="1"/>
  <c r="I173" i="2" s="1"/>
  <c r="E165" i="2"/>
  <c r="H165" i="2" s="1"/>
  <c r="I165" i="2" s="1"/>
  <c r="E157" i="2"/>
  <c r="H157" i="2" s="1"/>
  <c r="E149" i="2"/>
  <c r="H149" i="2" s="1"/>
  <c r="E141" i="2"/>
  <c r="H141" i="2" s="1"/>
  <c r="E133" i="2"/>
  <c r="H133" i="2" s="1"/>
  <c r="I133" i="2" s="1"/>
  <c r="E125" i="2"/>
  <c r="H125" i="2" s="1"/>
  <c r="E117" i="2"/>
  <c r="H117" i="2" s="1"/>
  <c r="I117" i="2" s="1"/>
  <c r="E109" i="2"/>
  <c r="H109" i="2" s="1"/>
  <c r="I109" i="2" s="1"/>
  <c r="E101" i="2"/>
  <c r="H101" i="2" s="1"/>
  <c r="I101" i="2" s="1"/>
  <c r="E93" i="2"/>
  <c r="H93" i="2" s="1"/>
  <c r="I93" i="2" s="1"/>
  <c r="E85" i="2"/>
  <c r="H85" i="2" s="1"/>
  <c r="I85" i="2" s="1"/>
  <c r="E77" i="2"/>
  <c r="H77" i="2" s="1"/>
  <c r="I77" i="2" s="1"/>
  <c r="E198" i="2"/>
  <c r="H198" i="2" s="1"/>
  <c r="I198" i="2" s="1"/>
  <c r="E190" i="2"/>
  <c r="H190" i="2" s="1"/>
  <c r="E182" i="2"/>
  <c r="H182" i="2" s="1"/>
  <c r="I182" i="2" s="1"/>
  <c r="E174" i="2"/>
  <c r="H174" i="2" s="1"/>
  <c r="I174" i="2" s="1"/>
  <c r="E166" i="2"/>
  <c r="H166" i="2" s="1"/>
  <c r="I166" i="2" s="1"/>
  <c r="E199" i="2"/>
  <c r="H199" i="2" s="1"/>
  <c r="E191" i="2"/>
  <c r="H191" i="2" s="1"/>
  <c r="I191" i="2" s="1"/>
  <c r="E183" i="2"/>
  <c r="H183" i="2" s="1"/>
  <c r="E175" i="2"/>
  <c r="H175" i="2" s="1"/>
  <c r="I175" i="2" s="1"/>
  <c r="E167" i="2"/>
  <c r="H167" i="2" s="1"/>
  <c r="I167" i="2" s="1"/>
  <c r="E159" i="2"/>
  <c r="H159" i="2" s="1"/>
  <c r="E151" i="2"/>
  <c r="H151" i="2" s="1"/>
  <c r="I151" i="2" s="1"/>
  <c r="E143" i="2"/>
  <c r="H143" i="2" s="1"/>
  <c r="E135" i="2"/>
  <c r="H135" i="2" s="1"/>
  <c r="E127" i="2"/>
  <c r="H127" i="2" s="1"/>
  <c r="E119" i="2"/>
  <c r="H119" i="2" s="1"/>
  <c r="I119" i="2" s="1"/>
  <c r="E111" i="2"/>
  <c r="H111" i="2" s="1"/>
  <c r="E103" i="2"/>
  <c r="H103" i="2" s="1"/>
  <c r="E95" i="2"/>
  <c r="H95" i="2" s="1"/>
  <c r="E87" i="2"/>
  <c r="H87" i="2" s="1"/>
  <c r="I87" i="2" s="1"/>
  <c r="E79" i="2"/>
  <c r="H79" i="2" s="1"/>
  <c r="I79" i="2" s="1"/>
  <c r="E71" i="2"/>
  <c r="H71" i="2" s="1"/>
  <c r="I71" i="2" s="1"/>
  <c r="E8" i="2"/>
  <c r="H8" i="2" s="1"/>
  <c r="I8" i="2" s="1"/>
  <c r="E16" i="2"/>
  <c r="H16" i="2" s="1"/>
  <c r="E24" i="2"/>
  <c r="H24" i="2" s="1"/>
  <c r="I24" i="2" s="1"/>
  <c r="E32" i="2"/>
  <c r="H32" i="2" s="1"/>
  <c r="E40" i="2"/>
  <c r="H40" i="2" s="1"/>
  <c r="I40" i="2" s="1"/>
  <c r="E48" i="2"/>
  <c r="H48" i="2" s="1"/>
  <c r="I48" i="2" s="1"/>
  <c r="E56" i="2"/>
  <c r="H56" i="2" s="1"/>
  <c r="I56" i="2" s="1"/>
  <c r="E64" i="2"/>
  <c r="H64" i="2" s="1"/>
  <c r="I64" i="2" s="1"/>
  <c r="E73" i="2"/>
  <c r="H73" i="2" s="1"/>
  <c r="E76" i="2"/>
  <c r="H76" i="2" s="1"/>
  <c r="I76" i="2" s="1"/>
  <c r="E88" i="2"/>
  <c r="H88" i="2" s="1"/>
  <c r="I88" i="2" s="1"/>
  <c r="I95" i="2"/>
  <c r="E104" i="2"/>
  <c r="H104" i="2" s="1"/>
  <c r="I104" i="2" s="1"/>
  <c r="I111" i="2"/>
  <c r="E120" i="2"/>
  <c r="H120" i="2" s="1"/>
  <c r="I120" i="2" s="1"/>
  <c r="I135" i="2"/>
  <c r="I141" i="2"/>
  <c r="I145" i="2"/>
  <c r="I161" i="2"/>
  <c r="I190" i="2"/>
  <c r="E192" i="2"/>
  <c r="H192" i="2" s="1"/>
  <c r="I192" i="2" s="1"/>
  <c r="I199" i="2"/>
  <c r="I202" i="2"/>
  <c r="E7" i="2"/>
  <c r="H7" i="2" s="1"/>
  <c r="I7" i="2" s="1"/>
  <c r="E15" i="2"/>
  <c r="H15" i="2" s="1"/>
  <c r="I15" i="2" s="1"/>
  <c r="E23" i="2"/>
  <c r="H23" i="2" s="1"/>
  <c r="I23" i="2" s="1"/>
  <c r="E31" i="2"/>
  <c r="H31" i="2" s="1"/>
  <c r="E39" i="2"/>
  <c r="H39" i="2" s="1"/>
  <c r="I39" i="2" s="1"/>
  <c r="E47" i="2"/>
  <c r="H47" i="2" s="1"/>
  <c r="I47" i="2" s="1"/>
  <c r="E55" i="2"/>
  <c r="H55" i="2" s="1"/>
  <c r="E63" i="2"/>
  <c r="H63" i="2" s="1"/>
  <c r="I63" i="2" s="1"/>
  <c r="I73" i="2"/>
  <c r="I81" i="2"/>
  <c r="E90" i="2"/>
  <c r="H90" i="2" s="1"/>
  <c r="I90" i="2" s="1"/>
  <c r="I97" i="2"/>
  <c r="E106" i="2"/>
  <c r="H106" i="2" s="1"/>
  <c r="I106" i="2" s="1"/>
  <c r="I113" i="2"/>
  <c r="E122" i="2"/>
  <c r="H122" i="2" s="1"/>
  <c r="I122" i="2" s="1"/>
  <c r="I143" i="2"/>
  <c r="I147" i="2"/>
  <c r="I149" i="2"/>
  <c r="I159" i="2"/>
  <c r="I162" i="2"/>
  <c r="I171" i="2"/>
  <c r="I185" i="2"/>
  <c r="I200" i="2"/>
  <c r="I205" i="2"/>
  <c r="E6" i="2"/>
  <c r="H6" i="2" s="1"/>
  <c r="E14" i="2"/>
  <c r="H14" i="2" s="1"/>
  <c r="I14" i="2" s="1"/>
  <c r="E22" i="2"/>
  <c r="H22" i="2" s="1"/>
  <c r="I22" i="2" s="1"/>
  <c r="E30" i="2"/>
  <c r="H30" i="2" s="1"/>
  <c r="I30" i="2" s="1"/>
  <c r="E38" i="2"/>
  <c r="H38" i="2" s="1"/>
  <c r="I38" i="2" s="1"/>
  <c r="E46" i="2"/>
  <c r="H46" i="2" s="1"/>
  <c r="I46" i="2" s="1"/>
  <c r="E54" i="2"/>
  <c r="H54" i="2" s="1"/>
  <c r="I54" i="2" s="1"/>
  <c r="E62" i="2"/>
  <c r="H62" i="2" s="1"/>
  <c r="I62" i="2" s="1"/>
  <c r="E70" i="2"/>
  <c r="H70" i="2" s="1"/>
  <c r="I70" i="2" s="1"/>
  <c r="I83" i="2"/>
  <c r="E92" i="2"/>
  <c r="H92" i="2" s="1"/>
  <c r="I92" i="2" s="1"/>
  <c r="I99" i="2"/>
  <c r="E108" i="2"/>
  <c r="H108" i="2" s="1"/>
  <c r="I108" i="2" s="1"/>
  <c r="I115" i="2"/>
  <c r="E126" i="2"/>
  <c r="H126" i="2" s="1"/>
  <c r="I126" i="2" s="1"/>
  <c r="E128" i="2"/>
  <c r="H128" i="2" s="1"/>
  <c r="I128" i="2" s="1"/>
  <c r="E130" i="2"/>
  <c r="H130" i="2" s="1"/>
  <c r="I130" i="2" s="1"/>
  <c r="I144" i="2"/>
  <c r="I155" i="2"/>
  <c r="I157" i="2"/>
  <c r="I160" i="2"/>
  <c r="E176" i="2"/>
  <c r="H176" i="2" s="1"/>
  <c r="I176" i="2" s="1"/>
  <c r="I183" i="2"/>
  <c r="I186" i="2"/>
  <c r="I195" i="2"/>
  <c r="I197" i="2"/>
  <c r="I2" i="2" l="1"/>
  <c r="G3" i="2" s="1"/>
  <c r="I6" i="2"/>
</calcChain>
</file>

<file path=xl/sharedStrings.xml><?xml version="1.0" encoding="utf-8"?>
<sst xmlns="http://schemas.openxmlformats.org/spreadsheetml/2006/main" count="423" uniqueCount="28">
  <si>
    <t>Urun Adi</t>
  </si>
  <si>
    <t>Satis Fiyati</t>
  </si>
  <si>
    <t>Birim Maliyet</t>
  </si>
  <si>
    <t>Birim Kar</t>
  </si>
  <si>
    <t>Kar %</t>
  </si>
  <si>
    <t>tavukburger</t>
  </si>
  <si>
    <t>hamburger</t>
  </si>
  <si>
    <t>kasarli tost</t>
  </si>
  <si>
    <t>karisik tost</t>
  </si>
  <si>
    <t>patso</t>
  </si>
  <si>
    <t>sosisli patso</t>
  </si>
  <si>
    <t>makarna</t>
  </si>
  <si>
    <t>doner</t>
  </si>
  <si>
    <t>hamburger menu</t>
  </si>
  <si>
    <t>tavukburger menu</t>
  </si>
  <si>
    <t/>
  </si>
  <si>
    <t>Gun Sonu Satis Ozeti</t>
  </si>
  <si>
    <t>Tarih</t>
  </si>
  <si>
    <t>Toplam Ciro</t>
  </si>
  <si>
    <t>Toplam Maliyet</t>
  </si>
  <si>
    <t>Toplam Kar</t>
  </si>
  <si>
    <t>Gider</t>
  </si>
  <si>
    <t>Net Sonuc</t>
  </si>
  <si>
    <t>Net %</t>
  </si>
  <si>
    <t>Bu sayfada sadece Urun Adi, Satilan Adet ve varsa Gider alanini girmeniz yeterli.</t>
  </si>
  <si>
    <t>Satilan Adet</t>
  </si>
  <si>
    <t>Birim Fiyat</t>
  </si>
  <si>
    <t>Satis 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</si>
</sst>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" fontId="0" fillId="0" borderId="1" xfId="0" applyNumberFormat="1" applyBorder="1"/>
    <xf numFmtId="10" fontId="0" fillId="0" borderId="1" xfId="0" applyNumberFormat="1" applyBorder="1"/>
    <xf numFmtId="0" fontId="0" fillId="0" borderId="1" xfId="0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ySplit="1" topLeftCell="A2" activePane="bottomLeft" state="frozen"/>
      <selection pane="bottomLeft" activeCell="A2" sqref="A2:A11"/>
    </sheetView>
  </sheetViews>
  <sheetFormatPr defaultRowHeight="14.4" x14ac:dyDescent="0.3"/>
  <cols>
    <col min="1" max="1" width="28" customWidth="1"/>
    <col min="2" max="4" width="14" customWidth="1"/>
    <col min="5" max="5" width="1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2">
        <v>200</v>
      </c>
      <c r="C2" s="2">
        <v>65</v>
      </c>
      <c r="D2" s="2">
        <f t="shared" ref="D2:D33" si="0">IF(OR(B2="",C2=""),"",B2-C2)</f>
        <v>135</v>
      </c>
      <c r="E2" s="3">
        <f t="shared" ref="E2:E33" si="1">IF(B2=0,"",D2/B2)</f>
        <v>0.67500000000000004</v>
      </c>
    </row>
    <row r="3" spans="1:5" x14ac:dyDescent="0.3">
      <c r="A3" s="4" t="s">
        <v>6</v>
      </c>
      <c r="B3" s="2">
        <v>250</v>
      </c>
      <c r="C3" s="2">
        <v>95</v>
      </c>
      <c r="D3" s="2">
        <f t="shared" si="0"/>
        <v>155</v>
      </c>
      <c r="E3" s="3">
        <f t="shared" si="1"/>
        <v>0.62</v>
      </c>
    </row>
    <row r="4" spans="1:5" x14ac:dyDescent="0.3">
      <c r="A4" s="4" t="s">
        <v>7</v>
      </c>
      <c r="B4" s="2">
        <v>100</v>
      </c>
      <c r="C4" s="2">
        <v>40</v>
      </c>
      <c r="D4" s="2">
        <f t="shared" si="0"/>
        <v>60</v>
      </c>
      <c r="E4" s="3">
        <f t="shared" si="1"/>
        <v>0.6</v>
      </c>
    </row>
    <row r="5" spans="1:5" x14ac:dyDescent="0.3">
      <c r="A5" s="4" t="s">
        <v>8</v>
      </c>
      <c r="B5" s="2">
        <v>110</v>
      </c>
      <c r="C5" s="2">
        <v>45</v>
      </c>
      <c r="D5" s="2">
        <f t="shared" si="0"/>
        <v>65</v>
      </c>
      <c r="E5" s="3">
        <f t="shared" si="1"/>
        <v>0.59090909090909094</v>
      </c>
    </row>
    <row r="6" spans="1:5" x14ac:dyDescent="0.3">
      <c r="A6" s="4" t="s">
        <v>9</v>
      </c>
      <c r="B6" s="2">
        <v>100</v>
      </c>
      <c r="C6" s="2">
        <v>35</v>
      </c>
      <c r="D6" s="2">
        <f t="shared" si="0"/>
        <v>65</v>
      </c>
      <c r="E6" s="3">
        <f t="shared" si="1"/>
        <v>0.65</v>
      </c>
    </row>
    <row r="7" spans="1:5" x14ac:dyDescent="0.3">
      <c r="A7" s="4" t="s">
        <v>10</v>
      </c>
      <c r="B7" s="2">
        <v>110</v>
      </c>
      <c r="C7" s="2">
        <v>40</v>
      </c>
      <c r="D7" s="2">
        <f t="shared" si="0"/>
        <v>70</v>
      </c>
      <c r="E7" s="3">
        <f t="shared" si="1"/>
        <v>0.63636363636363635</v>
      </c>
    </row>
    <row r="8" spans="1:5" x14ac:dyDescent="0.3">
      <c r="A8" s="4" t="s">
        <v>11</v>
      </c>
      <c r="B8" s="2">
        <v>200</v>
      </c>
      <c r="C8" s="2">
        <v>50</v>
      </c>
      <c r="D8" s="2">
        <f t="shared" si="0"/>
        <v>150</v>
      </c>
      <c r="E8" s="3">
        <f t="shared" si="1"/>
        <v>0.75</v>
      </c>
    </row>
    <row r="9" spans="1:5" x14ac:dyDescent="0.3">
      <c r="A9" s="4" t="s">
        <v>12</v>
      </c>
      <c r="B9" s="2">
        <v>100</v>
      </c>
      <c r="C9" s="2">
        <v>60</v>
      </c>
      <c r="D9" s="2">
        <f t="shared" si="0"/>
        <v>40</v>
      </c>
      <c r="E9" s="3">
        <f t="shared" si="1"/>
        <v>0.4</v>
      </c>
    </row>
    <row r="10" spans="1:5" x14ac:dyDescent="0.3">
      <c r="A10" s="4" t="s">
        <v>13</v>
      </c>
      <c r="B10" s="2">
        <v>300</v>
      </c>
      <c r="C10" s="2">
        <v>130</v>
      </c>
      <c r="D10" s="2">
        <f t="shared" si="0"/>
        <v>170</v>
      </c>
      <c r="E10" s="3">
        <f t="shared" si="1"/>
        <v>0.56666666666666665</v>
      </c>
    </row>
    <row r="11" spans="1:5" x14ac:dyDescent="0.3">
      <c r="A11" s="4" t="s">
        <v>14</v>
      </c>
      <c r="B11" s="2">
        <v>250</v>
      </c>
      <c r="C11" s="2">
        <v>100</v>
      </c>
      <c r="D11" s="2">
        <f t="shared" si="0"/>
        <v>150</v>
      </c>
      <c r="E11" s="3">
        <f t="shared" si="1"/>
        <v>0.6</v>
      </c>
    </row>
    <row r="12" spans="1:5" x14ac:dyDescent="0.3">
      <c r="A12" s="4" t="s">
        <v>15</v>
      </c>
      <c r="B12" s="2"/>
      <c r="C12" s="2"/>
      <c r="D12" s="2" t="str">
        <f t="shared" si="0"/>
        <v/>
      </c>
      <c r="E12" s="3" t="str">
        <f t="shared" si="1"/>
        <v/>
      </c>
    </row>
    <row r="13" spans="1:5" x14ac:dyDescent="0.3">
      <c r="A13" s="4" t="s">
        <v>15</v>
      </c>
      <c r="B13" s="2"/>
      <c r="C13" s="2"/>
      <c r="D13" s="2" t="str">
        <f t="shared" si="0"/>
        <v/>
      </c>
      <c r="E13" s="3" t="str">
        <f t="shared" si="1"/>
        <v/>
      </c>
    </row>
    <row r="14" spans="1:5" x14ac:dyDescent="0.3">
      <c r="A14" s="4" t="s">
        <v>15</v>
      </c>
      <c r="B14" s="2"/>
      <c r="C14" s="2"/>
      <c r="D14" s="2" t="str">
        <f t="shared" si="0"/>
        <v/>
      </c>
      <c r="E14" s="3" t="str">
        <f t="shared" si="1"/>
        <v/>
      </c>
    </row>
    <row r="15" spans="1:5" x14ac:dyDescent="0.3">
      <c r="A15" s="4" t="s">
        <v>15</v>
      </c>
      <c r="B15" s="2"/>
      <c r="C15" s="2"/>
      <c r="D15" s="2" t="str">
        <f t="shared" si="0"/>
        <v/>
      </c>
      <c r="E15" s="3" t="str">
        <f t="shared" si="1"/>
        <v/>
      </c>
    </row>
    <row r="16" spans="1:5" x14ac:dyDescent="0.3">
      <c r="A16" s="4" t="s">
        <v>15</v>
      </c>
      <c r="B16" s="2"/>
      <c r="C16" s="2"/>
      <c r="D16" s="2" t="str">
        <f t="shared" si="0"/>
        <v/>
      </c>
      <c r="E16" s="3" t="str">
        <f t="shared" si="1"/>
        <v/>
      </c>
    </row>
    <row r="17" spans="1:5" x14ac:dyDescent="0.3">
      <c r="A17" s="4" t="s">
        <v>15</v>
      </c>
      <c r="B17" s="2"/>
      <c r="C17" s="2"/>
      <c r="D17" s="2" t="str">
        <f t="shared" si="0"/>
        <v/>
      </c>
      <c r="E17" s="3" t="str">
        <f t="shared" si="1"/>
        <v/>
      </c>
    </row>
    <row r="18" spans="1:5" x14ac:dyDescent="0.3">
      <c r="A18" s="4" t="s">
        <v>15</v>
      </c>
      <c r="B18" s="2"/>
      <c r="C18" s="2"/>
      <c r="D18" s="2" t="str">
        <f t="shared" si="0"/>
        <v/>
      </c>
      <c r="E18" s="3" t="str">
        <f t="shared" si="1"/>
        <v/>
      </c>
    </row>
    <row r="19" spans="1:5" x14ac:dyDescent="0.3">
      <c r="A19" s="4" t="s">
        <v>15</v>
      </c>
      <c r="B19" s="2"/>
      <c r="C19" s="2"/>
      <c r="D19" s="2" t="str">
        <f t="shared" si="0"/>
        <v/>
      </c>
      <c r="E19" s="3" t="str">
        <f t="shared" si="1"/>
        <v/>
      </c>
    </row>
    <row r="20" spans="1:5" x14ac:dyDescent="0.3">
      <c r="A20" s="4" t="s">
        <v>15</v>
      </c>
      <c r="B20" s="2"/>
      <c r="C20" s="2"/>
      <c r="D20" s="2" t="str">
        <f t="shared" si="0"/>
        <v/>
      </c>
      <c r="E20" s="3" t="str">
        <f t="shared" si="1"/>
        <v/>
      </c>
    </row>
    <row r="21" spans="1:5" x14ac:dyDescent="0.3">
      <c r="A21" s="4" t="s">
        <v>15</v>
      </c>
      <c r="B21" s="2"/>
      <c r="C21" s="2"/>
      <c r="D21" s="2" t="str">
        <f t="shared" si="0"/>
        <v/>
      </c>
      <c r="E21" s="3" t="str">
        <f t="shared" si="1"/>
        <v/>
      </c>
    </row>
    <row r="22" spans="1:5" x14ac:dyDescent="0.3">
      <c r="A22" s="4" t="s">
        <v>15</v>
      </c>
      <c r="B22" s="2"/>
      <c r="C22" s="2"/>
      <c r="D22" s="2" t="str">
        <f t="shared" si="0"/>
        <v/>
      </c>
      <c r="E22" s="3" t="str">
        <f t="shared" si="1"/>
        <v/>
      </c>
    </row>
    <row r="23" spans="1:5" x14ac:dyDescent="0.3">
      <c r="A23" s="4" t="s">
        <v>15</v>
      </c>
      <c r="B23" s="2"/>
      <c r="C23" s="2"/>
      <c r="D23" s="2" t="str">
        <f t="shared" si="0"/>
        <v/>
      </c>
      <c r="E23" s="3" t="str">
        <f t="shared" si="1"/>
        <v/>
      </c>
    </row>
    <row r="24" spans="1:5" x14ac:dyDescent="0.3">
      <c r="A24" s="4" t="s">
        <v>15</v>
      </c>
      <c r="B24" s="2"/>
      <c r="C24" s="2"/>
      <c r="D24" s="2" t="str">
        <f t="shared" si="0"/>
        <v/>
      </c>
      <c r="E24" s="3" t="str">
        <f t="shared" si="1"/>
        <v/>
      </c>
    </row>
    <row r="25" spans="1:5" x14ac:dyDescent="0.3">
      <c r="A25" s="4" t="s">
        <v>15</v>
      </c>
      <c r="B25" s="2"/>
      <c r="C25" s="2"/>
      <c r="D25" s="2" t="str">
        <f t="shared" si="0"/>
        <v/>
      </c>
      <c r="E25" s="3" t="str">
        <f t="shared" si="1"/>
        <v/>
      </c>
    </row>
    <row r="26" spans="1:5" x14ac:dyDescent="0.3">
      <c r="A26" s="4" t="s">
        <v>15</v>
      </c>
      <c r="B26" s="2"/>
      <c r="C26" s="2"/>
      <c r="D26" s="2" t="str">
        <f t="shared" si="0"/>
        <v/>
      </c>
      <c r="E26" s="3" t="str">
        <f t="shared" si="1"/>
        <v/>
      </c>
    </row>
    <row r="27" spans="1:5" x14ac:dyDescent="0.3">
      <c r="A27" s="4" t="s">
        <v>15</v>
      </c>
      <c r="B27" s="2"/>
      <c r="C27" s="2"/>
      <c r="D27" s="2" t="str">
        <f t="shared" si="0"/>
        <v/>
      </c>
      <c r="E27" s="3" t="str">
        <f t="shared" si="1"/>
        <v/>
      </c>
    </row>
    <row r="28" spans="1:5" x14ac:dyDescent="0.3">
      <c r="A28" s="4" t="s">
        <v>15</v>
      </c>
      <c r="B28" s="2"/>
      <c r="C28" s="2"/>
      <c r="D28" s="2" t="str">
        <f t="shared" si="0"/>
        <v/>
      </c>
      <c r="E28" s="3" t="str">
        <f t="shared" si="1"/>
        <v/>
      </c>
    </row>
    <row r="29" spans="1:5" x14ac:dyDescent="0.3">
      <c r="A29" s="4" t="s">
        <v>15</v>
      </c>
      <c r="B29" s="2"/>
      <c r="C29" s="2"/>
      <c r="D29" s="2" t="str">
        <f t="shared" si="0"/>
        <v/>
      </c>
      <c r="E29" s="3" t="str">
        <f t="shared" si="1"/>
        <v/>
      </c>
    </row>
    <row r="30" spans="1:5" x14ac:dyDescent="0.3">
      <c r="A30" s="4" t="s">
        <v>15</v>
      </c>
      <c r="B30" s="2"/>
      <c r="C30" s="2"/>
      <c r="D30" s="2" t="str">
        <f t="shared" si="0"/>
        <v/>
      </c>
      <c r="E30" s="3" t="str">
        <f t="shared" si="1"/>
        <v/>
      </c>
    </row>
    <row r="31" spans="1:5" x14ac:dyDescent="0.3">
      <c r="A31" s="4" t="s">
        <v>15</v>
      </c>
      <c r="B31" s="2"/>
      <c r="C31" s="2"/>
      <c r="D31" s="2" t="str">
        <f t="shared" si="0"/>
        <v/>
      </c>
      <c r="E31" s="3" t="str">
        <f t="shared" si="1"/>
        <v/>
      </c>
    </row>
    <row r="32" spans="1:5" x14ac:dyDescent="0.3">
      <c r="A32" s="4" t="s">
        <v>15</v>
      </c>
      <c r="B32" s="2"/>
      <c r="C32" s="2"/>
      <c r="D32" s="2" t="str">
        <f t="shared" si="0"/>
        <v/>
      </c>
      <c r="E32" s="3" t="str">
        <f t="shared" si="1"/>
        <v/>
      </c>
    </row>
    <row r="33" spans="1:5" x14ac:dyDescent="0.3">
      <c r="A33" s="4" t="s">
        <v>15</v>
      </c>
      <c r="B33" s="2"/>
      <c r="C33" s="2"/>
      <c r="D33" s="2" t="str">
        <f t="shared" si="0"/>
        <v/>
      </c>
      <c r="E33" s="3" t="str">
        <f t="shared" si="1"/>
        <v/>
      </c>
    </row>
    <row r="34" spans="1:5" x14ac:dyDescent="0.3">
      <c r="A34" s="4" t="s">
        <v>15</v>
      </c>
      <c r="B34" s="2"/>
      <c r="C34" s="2"/>
      <c r="D34" s="2" t="str">
        <f t="shared" ref="D34:D65" si="2">IF(OR(B34="",C34=""),"",B34-C34)</f>
        <v/>
      </c>
      <c r="E34" s="3" t="str">
        <f t="shared" ref="E34:E65" si="3">IF(B34=0,"",D34/B34)</f>
        <v/>
      </c>
    </row>
    <row r="35" spans="1:5" x14ac:dyDescent="0.3">
      <c r="A35" s="4" t="s">
        <v>15</v>
      </c>
      <c r="B35" s="2"/>
      <c r="C35" s="2"/>
      <c r="D35" s="2" t="str">
        <f t="shared" si="2"/>
        <v/>
      </c>
      <c r="E35" s="3" t="str">
        <f t="shared" si="3"/>
        <v/>
      </c>
    </row>
    <row r="36" spans="1:5" x14ac:dyDescent="0.3">
      <c r="A36" s="4" t="s">
        <v>15</v>
      </c>
      <c r="B36" s="2"/>
      <c r="C36" s="2"/>
      <c r="D36" s="2" t="str">
        <f t="shared" si="2"/>
        <v/>
      </c>
      <c r="E36" s="3" t="str">
        <f t="shared" si="3"/>
        <v/>
      </c>
    </row>
    <row r="37" spans="1:5" x14ac:dyDescent="0.3">
      <c r="A37" s="4" t="s">
        <v>15</v>
      </c>
      <c r="B37" s="2"/>
      <c r="C37" s="2"/>
      <c r="D37" s="2" t="str">
        <f t="shared" si="2"/>
        <v/>
      </c>
      <c r="E37" s="3" t="str">
        <f t="shared" si="3"/>
        <v/>
      </c>
    </row>
    <row r="38" spans="1:5" x14ac:dyDescent="0.3">
      <c r="A38" s="4" t="s">
        <v>15</v>
      </c>
      <c r="B38" s="2"/>
      <c r="C38" s="2"/>
      <c r="D38" s="2" t="str">
        <f t="shared" si="2"/>
        <v/>
      </c>
      <c r="E38" s="3" t="str">
        <f t="shared" si="3"/>
        <v/>
      </c>
    </row>
    <row r="39" spans="1:5" x14ac:dyDescent="0.3">
      <c r="A39" s="4" t="s">
        <v>15</v>
      </c>
      <c r="B39" s="2"/>
      <c r="C39" s="2"/>
      <c r="D39" s="2" t="str">
        <f t="shared" si="2"/>
        <v/>
      </c>
      <c r="E39" s="3" t="str">
        <f t="shared" si="3"/>
        <v/>
      </c>
    </row>
    <row r="40" spans="1:5" x14ac:dyDescent="0.3">
      <c r="A40" s="4" t="s">
        <v>15</v>
      </c>
      <c r="B40" s="2"/>
      <c r="C40" s="2"/>
      <c r="D40" s="2" t="str">
        <f t="shared" si="2"/>
        <v/>
      </c>
      <c r="E40" s="3" t="str">
        <f t="shared" si="3"/>
        <v/>
      </c>
    </row>
    <row r="41" spans="1:5" x14ac:dyDescent="0.3">
      <c r="A41" s="4" t="s">
        <v>15</v>
      </c>
      <c r="B41" s="2"/>
      <c r="C41" s="2"/>
      <c r="D41" s="2" t="str">
        <f t="shared" si="2"/>
        <v/>
      </c>
      <c r="E41" s="3" t="str">
        <f t="shared" si="3"/>
        <v/>
      </c>
    </row>
    <row r="42" spans="1:5" x14ac:dyDescent="0.3">
      <c r="A42" s="4" t="s">
        <v>15</v>
      </c>
      <c r="B42" s="2"/>
      <c r="C42" s="2"/>
      <c r="D42" s="2" t="str">
        <f t="shared" si="2"/>
        <v/>
      </c>
      <c r="E42" s="3" t="str">
        <f t="shared" si="3"/>
        <v/>
      </c>
    </row>
    <row r="43" spans="1:5" x14ac:dyDescent="0.3">
      <c r="A43" s="4" t="s">
        <v>15</v>
      </c>
      <c r="B43" s="2"/>
      <c r="C43" s="2"/>
      <c r="D43" s="2" t="str">
        <f t="shared" si="2"/>
        <v/>
      </c>
      <c r="E43" s="3" t="str">
        <f t="shared" si="3"/>
        <v/>
      </c>
    </row>
    <row r="44" spans="1:5" x14ac:dyDescent="0.3">
      <c r="A44" s="4" t="s">
        <v>15</v>
      </c>
      <c r="B44" s="2"/>
      <c r="C44" s="2"/>
      <c r="D44" s="2" t="str">
        <f t="shared" si="2"/>
        <v/>
      </c>
      <c r="E44" s="3" t="str">
        <f t="shared" si="3"/>
        <v/>
      </c>
    </row>
    <row r="45" spans="1:5" x14ac:dyDescent="0.3">
      <c r="A45" s="4" t="s">
        <v>15</v>
      </c>
      <c r="B45" s="2"/>
      <c r="C45" s="2"/>
      <c r="D45" s="2" t="str">
        <f t="shared" si="2"/>
        <v/>
      </c>
      <c r="E45" s="3" t="str">
        <f t="shared" si="3"/>
        <v/>
      </c>
    </row>
    <row r="46" spans="1:5" x14ac:dyDescent="0.3">
      <c r="A46" s="4" t="s">
        <v>15</v>
      </c>
      <c r="B46" s="2"/>
      <c r="C46" s="2"/>
      <c r="D46" s="2" t="str">
        <f t="shared" si="2"/>
        <v/>
      </c>
      <c r="E46" s="3" t="str">
        <f t="shared" si="3"/>
        <v/>
      </c>
    </row>
    <row r="47" spans="1:5" x14ac:dyDescent="0.3">
      <c r="A47" s="4" t="s">
        <v>15</v>
      </c>
      <c r="B47" s="2"/>
      <c r="C47" s="2"/>
      <c r="D47" s="2" t="str">
        <f t="shared" si="2"/>
        <v/>
      </c>
      <c r="E47" s="3" t="str">
        <f t="shared" si="3"/>
        <v/>
      </c>
    </row>
    <row r="48" spans="1:5" x14ac:dyDescent="0.3">
      <c r="A48" s="4" t="s">
        <v>15</v>
      </c>
      <c r="B48" s="2"/>
      <c r="C48" s="2"/>
      <c r="D48" s="2" t="str">
        <f t="shared" si="2"/>
        <v/>
      </c>
      <c r="E48" s="3" t="str">
        <f t="shared" si="3"/>
        <v/>
      </c>
    </row>
    <row r="49" spans="1:5" x14ac:dyDescent="0.3">
      <c r="A49" s="4" t="s">
        <v>15</v>
      </c>
      <c r="B49" s="2"/>
      <c r="C49" s="2"/>
      <c r="D49" s="2" t="str">
        <f t="shared" si="2"/>
        <v/>
      </c>
      <c r="E49" s="3" t="str">
        <f t="shared" si="3"/>
        <v/>
      </c>
    </row>
    <row r="50" spans="1:5" x14ac:dyDescent="0.3">
      <c r="A50" s="4" t="s">
        <v>15</v>
      </c>
      <c r="B50" s="2"/>
      <c r="C50" s="2"/>
      <c r="D50" s="2" t="str">
        <f t="shared" si="2"/>
        <v/>
      </c>
      <c r="E50" s="3" t="str">
        <f t="shared" si="3"/>
        <v/>
      </c>
    </row>
    <row r="51" spans="1:5" x14ac:dyDescent="0.3">
      <c r="A51" s="4" t="s">
        <v>15</v>
      </c>
      <c r="B51" s="2"/>
      <c r="C51" s="2"/>
      <c r="D51" s="2" t="str">
        <f t="shared" si="2"/>
        <v/>
      </c>
      <c r="E51" s="3" t="str">
        <f t="shared" si="3"/>
        <v/>
      </c>
    </row>
    <row r="52" spans="1:5" x14ac:dyDescent="0.3">
      <c r="A52" s="4" t="s">
        <v>15</v>
      </c>
      <c r="B52" s="2"/>
      <c r="C52" s="2"/>
      <c r="D52" s="2" t="str">
        <f t="shared" si="2"/>
        <v/>
      </c>
      <c r="E52" s="3" t="str">
        <f t="shared" si="3"/>
        <v/>
      </c>
    </row>
    <row r="53" spans="1:5" x14ac:dyDescent="0.3">
      <c r="A53" s="4" t="s">
        <v>15</v>
      </c>
      <c r="B53" s="2"/>
      <c r="C53" s="2"/>
      <c r="D53" s="2" t="str">
        <f t="shared" si="2"/>
        <v/>
      </c>
      <c r="E53" s="3" t="str">
        <f t="shared" si="3"/>
        <v/>
      </c>
    </row>
    <row r="54" spans="1:5" x14ac:dyDescent="0.3">
      <c r="A54" s="4" t="s">
        <v>15</v>
      </c>
      <c r="B54" s="2"/>
      <c r="C54" s="2"/>
      <c r="D54" s="2" t="str">
        <f t="shared" si="2"/>
        <v/>
      </c>
      <c r="E54" s="3" t="str">
        <f t="shared" si="3"/>
        <v/>
      </c>
    </row>
    <row r="55" spans="1:5" x14ac:dyDescent="0.3">
      <c r="A55" s="4" t="s">
        <v>15</v>
      </c>
      <c r="B55" s="2"/>
      <c r="C55" s="2"/>
      <c r="D55" s="2" t="str">
        <f t="shared" si="2"/>
        <v/>
      </c>
      <c r="E55" s="3" t="str">
        <f t="shared" si="3"/>
        <v/>
      </c>
    </row>
    <row r="56" spans="1:5" x14ac:dyDescent="0.3">
      <c r="A56" s="4" t="s">
        <v>15</v>
      </c>
      <c r="B56" s="2"/>
      <c r="C56" s="2"/>
      <c r="D56" s="2" t="str">
        <f t="shared" si="2"/>
        <v/>
      </c>
      <c r="E56" s="3" t="str">
        <f t="shared" si="3"/>
        <v/>
      </c>
    </row>
    <row r="57" spans="1:5" x14ac:dyDescent="0.3">
      <c r="A57" s="4" t="s">
        <v>15</v>
      </c>
      <c r="B57" s="2"/>
      <c r="C57" s="2"/>
      <c r="D57" s="2" t="str">
        <f t="shared" si="2"/>
        <v/>
      </c>
      <c r="E57" s="3" t="str">
        <f t="shared" si="3"/>
        <v/>
      </c>
    </row>
    <row r="58" spans="1:5" x14ac:dyDescent="0.3">
      <c r="A58" s="4" t="s">
        <v>15</v>
      </c>
      <c r="B58" s="2"/>
      <c r="C58" s="2"/>
      <c r="D58" s="2" t="str">
        <f t="shared" si="2"/>
        <v/>
      </c>
      <c r="E58" s="3" t="str">
        <f t="shared" si="3"/>
        <v/>
      </c>
    </row>
    <row r="59" spans="1:5" x14ac:dyDescent="0.3">
      <c r="A59" s="4" t="s">
        <v>15</v>
      </c>
      <c r="B59" s="2"/>
      <c r="C59" s="2"/>
      <c r="D59" s="2" t="str">
        <f t="shared" si="2"/>
        <v/>
      </c>
      <c r="E59" s="3" t="str">
        <f t="shared" si="3"/>
        <v/>
      </c>
    </row>
    <row r="60" spans="1:5" x14ac:dyDescent="0.3">
      <c r="A60" s="4" t="s">
        <v>15</v>
      </c>
      <c r="B60" s="2"/>
      <c r="C60" s="2"/>
      <c r="D60" s="2" t="str">
        <f t="shared" si="2"/>
        <v/>
      </c>
      <c r="E60" s="3" t="str">
        <f t="shared" si="3"/>
        <v/>
      </c>
    </row>
    <row r="61" spans="1:5" x14ac:dyDescent="0.3">
      <c r="A61" s="4" t="s">
        <v>15</v>
      </c>
      <c r="B61" s="2"/>
      <c r="C61" s="2"/>
      <c r="D61" s="2" t="str">
        <f t="shared" si="2"/>
        <v/>
      </c>
      <c r="E61" s="3" t="str">
        <f t="shared" si="3"/>
        <v/>
      </c>
    </row>
    <row r="62" spans="1:5" x14ac:dyDescent="0.3">
      <c r="A62" s="4" t="s">
        <v>15</v>
      </c>
      <c r="B62" s="2"/>
      <c r="C62" s="2"/>
      <c r="D62" s="2" t="str">
        <f t="shared" si="2"/>
        <v/>
      </c>
      <c r="E62" s="3" t="str">
        <f t="shared" si="3"/>
        <v/>
      </c>
    </row>
    <row r="63" spans="1:5" x14ac:dyDescent="0.3">
      <c r="A63" s="4" t="s">
        <v>15</v>
      </c>
      <c r="B63" s="2"/>
      <c r="C63" s="2"/>
      <c r="D63" s="2" t="str">
        <f t="shared" si="2"/>
        <v/>
      </c>
      <c r="E63" s="3" t="str">
        <f t="shared" si="3"/>
        <v/>
      </c>
    </row>
    <row r="64" spans="1:5" x14ac:dyDescent="0.3">
      <c r="A64" s="4" t="s">
        <v>15</v>
      </c>
      <c r="B64" s="2"/>
      <c r="C64" s="2"/>
      <c r="D64" s="2" t="str">
        <f t="shared" si="2"/>
        <v/>
      </c>
      <c r="E64" s="3" t="str">
        <f t="shared" si="3"/>
        <v/>
      </c>
    </row>
    <row r="65" spans="1:5" x14ac:dyDescent="0.3">
      <c r="A65" s="4" t="s">
        <v>15</v>
      </c>
      <c r="B65" s="2"/>
      <c r="C65" s="2"/>
      <c r="D65" s="2" t="str">
        <f t="shared" si="2"/>
        <v/>
      </c>
      <c r="E65" s="3" t="str">
        <f t="shared" si="3"/>
        <v/>
      </c>
    </row>
    <row r="66" spans="1:5" x14ac:dyDescent="0.3">
      <c r="A66" s="4" t="s">
        <v>15</v>
      </c>
      <c r="B66" s="2"/>
      <c r="C66" s="2"/>
      <c r="D66" s="2" t="str">
        <f t="shared" ref="D66:D97" si="4">IF(OR(B66="",C66=""),"",B66-C66)</f>
        <v/>
      </c>
      <c r="E66" s="3" t="str">
        <f t="shared" ref="E66:E97" si="5">IF(B66=0,"",D66/B66)</f>
        <v/>
      </c>
    </row>
    <row r="67" spans="1:5" x14ac:dyDescent="0.3">
      <c r="A67" s="4" t="s">
        <v>15</v>
      </c>
      <c r="B67" s="2"/>
      <c r="C67" s="2"/>
      <c r="D67" s="2" t="str">
        <f t="shared" si="4"/>
        <v/>
      </c>
      <c r="E67" s="3" t="str">
        <f t="shared" si="5"/>
        <v/>
      </c>
    </row>
    <row r="68" spans="1:5" x14ac:dyDescent="0.3">
      <c r="A68" s="4" t="s">
        <v>15</v>
      </c>
      <c r="B68" s="2"/>
      <c r="C68" s="2"/>
      <c r="D68" s="2" t="str">
        <f t="shared" si="4"/>
        <v/>
      </c>
      <c r="E68" s="3" t="str">
        <f t="shared" si="5"/>
        <v/>
      </c>
    </row>
    <row r="69" spans="1:5" x14ac:dyDescent="0.3">
      <c r="A69" s="4" t="s">
        <v>15</v>
      </c>
      <c r="B69" s="2"/>
      <c r="C69" s="2"/>
      <c r="D69" s="2" t="str">
        <f t="shared" si="4"/>
        <v/>
      </c>
      <c r="E69" s="3" t="str">
        <f t="shared" si="5"/>
        <v/>
      </c>
    </row>
    <row r="70" spans="1:5" x14ac:dyDescent="0.3">
      <c r="A70" s="4" t="s">
        <v>15</v>
      </c>
      <c r="B70" s="2"/>
      <c r="C70" s="2"/>
      <c r="D70" s="2" t="str">
        <f t="shared" si="4"/>
        <v/>
      </c>
      <c r="E70" s="3" t="str">
        <f t="shared" si="5"/>
        <v/>
      </c>
    </row>
    <row r="71" spans="1:5" x14ac:dyDescent="0.3">
      <c r="A71" s="4" t="s">
        <v>15</v>
      </c>
      <c r="B71" s="2"/>
      <c r="C71" s="2"/>
      <c r="D71" s="2" t="str">
        <f t="shared" si="4"/>
        <v/>
      </c>
      <c r="E71" s="3" t="str">
        <f t="shared" si="5"/>
        <v/>
      </c>
    </row>
    <row r="72" spans="1:5" x14ac:dyDescent="0.3">
      <c r="A72" s="4" t="s">
        <v>15</v>
      </c>
      <c r="B72" s="2"/>
      <c r="C72" s="2"/>
      <c r="D72" s="2" t="str">
        <f t="shared" si="4"/>
        <v/>
      </c>
      <c r="E72" s="3" t="str">
        <f t="shared" si="5"/>
        <v/>
      </c>
    </row>
    <row r="73" spans="1:5" x14ac:dyDescent="0.3">
      <c r="A73" s="4" t="s">
        <v>15</v>
      </c>
      <c r="B73" s="2"/>
      <c r="C73" s="2"/>
      <c r="D73" s="2" t="str">
        <f t="shared" si="4"/>
        <v/>
      </c>
      <c r="E73" s="3" t="str">
        <f t="shared" si="5"/>
        <v/>
      </c>
    </row>
    <row r="74" spans="1:5" x14ac:dyDescent="0.3">
      <c r="A74" s="4" t="s">
        <v>15</v>
      </c>
      <c r="B74" s="2"/>
      <c r="C74" s="2"/>
      <c r="D74" s="2" t="str">
        <f t="shared" si="4"/>
        <v/>
      </c>
      <c r="E74" s="3" t="str">
        <f t="shared" si="5"/>
        <v/>
      </c>
    </row>
    <row r="75" spans="1:5" x14ac:dyDescent="0.3">
      <c r="A75" s="4" t="s">
        <v>15</v>
      </c>
      <c r="B75" s="2"/>
      <c r="C75" s="2"/>
      <c r="D75" s="2" t="str">
        <f t="shared" si="4"/>
        <v/>
      </c>
      <c r="E75" s="3" t="str">
        <f t="shared" si="5"/>
        <v/>
      </c>
    </row>
    <row r="76" spans="1:5" x14ac:dyDescent="0.3">
      <c r="A76" s="4" t="s">
        <v>15</v>
      </c>
      <c r="B76" s="2"/>
      <c r="C76" s="2"/>
      <c r="D76" s="2" t="str">
        <f t="shared" si="4"/>
        <v/>
      </c>
      <c r="E76" s="3" t="str">
        <f t="shared" si="5"/>
        <v/>
      </c>
    </row>
    <row r="77" spans="1:5" x14ac:dyDescent="0.3">
      <c r="A77" s="4" t="s">
        <v>15</v>
      </c>
      <c r="B77" s="2"/>
      <c r="C77" s="2"/>
      <c r="D77" s="2" t="str">
        <f t="shared" si="4"/>
        <v/>
      </c>
      <c r="E77" s="3" t="str">
        <f t="shared" si="5"/>
        <v/>
      </c>
    </row>
    <row r="78" spans="1:5" x14ac:dyDescent="0.3">
      <c r="A78" s="4" t="s">
        <v>15</v>
      </c>
      <c r="B78" s="2"/>
      <c r="C78" s="2"/>
      <c r="D78" s="2" t="str">
        <f t="shared" si="4"/>
        <v/>
      </c>
      <c r="E78" s="3" t="str">
        <f t="shared" si="5"/>
        <v/>
      </c>
    </row>
    <row r="79" spans="1:5" x14ac:dyDescent="0.3">
      <c r="A79" s="4" t="s">
        <v>15</v>
      </c>
      <c r="B79" s="2"/>
      <c r="C79" s="2"/>
      <c r="D79" s="2" t="str">
        <f t="shared" si="4"/>
        <v/>
      </c>
      <c r="E79" s="3" t="str">
        <f t="shared" si="5"/>
        <v/>
      </c>
    </row>
    <row r="80" spans="1:5" x14ac:dyDescent="0.3">
      <c r="A80" s="4" t="s">
        <v>15</v>
      </c>
      <c r="B80" s="2"/>
      <c r="C80" s="2"/>
      <c r="D80" s="2" t="str">
        <f t="shared" si="4"/>
        <v/>
      </c>
      <c r="E80" s="3" t="str">
        <f t="shared" si="5"/>
        <v/>
      </c>
    </row>
    <row r="81" spans="1:5" x14ac:dyDescent="0.3">
      <c r="A81" s="4" t="s">
        <v>15</v>
      </c>
      <c r="B81" s="2"/>
      <c r="C81" s="2"/>
      <c r="D81" s="2" t="str">
        <f t="shared" si="4"/>
        <v/>
      </c>
      <c r="E81" s="3" t="str">
        <f t="shared" si="5"/>
        <v/>
      </c>
    </row>
    <row r="82" spans="1:5" x14ac:dyDescent="0.3">
      <c r="A82" s="4" t="s">
        <v>15</v>
      </c>
      <c r="B82" s="2"/>
      <c r="C82" s="2"/>
      <c r="D82" s="2" t="str">
        <f t="shared" si="4"/>
        <v/>
      </c>
      <c r="E82" s="3" t="str">
        <f t="shared" si="5"/>
        <v/>
      </c>
    </row>
    <row r="83" spans="1:5" x14ac:dyDescent="0.3">
      <c r="A83" s="4" t="s">
        <v>15</v>
      </c>
      <c r="B83" s="2"/>
      <c r="C83" s="2"/>
      <c r="D83" s="2" t="str">
        <f t="shared" si="4"/>
        <v/>
      </c>
      <c r="E83" s="3" t="str">
        <f t="shared" si="5"/>
        <v/>
      </c>
    </row>
    <row r="84" spans="1:5" x14ac:dyDescent="0.3">
      <c r="A84" s="4" t="s">
        <v>15</v>
      </c>
      <c r="B84" s="2"/>
      <c r="C84" s="2"/>
      <c r="D84" s="2" t="str">
        <f t="shared" si="4"/>
        <v/>
      </c>
      <c r="E84" s="3" t="str">
        <f t="shared" si="5"/>
        <v/>
      </c>
    </row>
    <row r="85" spans="1:5" x14ac:dyDescent="0.3">
      <c r="A85" s="4" t="s">
        <v>15</v>
      </c>
      <c r="B85" s="2"/>
      <c r="C85" s="2"/>
      <c r="D85" s="2" t="str">
        <f t="shared" si="4"/>
        <v/>
      </c>
      <c r="E85" s="3" t="str">
        <f t="shared" si="5"/>
        <v/>
      </c>
    </row>
    <row r="86" spans="1:5" x14ac:dyDescent="0.3">
      <c r="A86" s="4" t="s">
        <v>15</v>
      </c>
      <c r="B86" s="2"/>
      <c r="C86" s="2"/>
      <c r="D86" s="2" t="str">
        <f t="shared" si="4"/>
        <v/>
      </c>
      <c r="E86" s="3" t="str">
        <f t="shared" si="5"/>
        <v/>
      </c>
    </row>
    <row r="87" spans="1:5" x14ac:dyDescent="0.3">
      <c r="A87" s="4" t="s">
        <v>15</v>
      </c>
      <c r="B87" s="2"/>
      <c r="C87" s="2"/>
      <c r="D87" s="2" t="str">
        <f t="shared" si="4"/>
        <v/>
      </c>
      <c r="E87" s="3" t="str">
        <f t="shared" si="5"/>
        <v/>
      </c>
    </row>
    <row r="88" spans="1:5" x14ac:dyDescent="0.3">
      <c r="A88" s="4" t="s">
        <v>15</v>
      </c>
      <c r="B88" s="2"/>
      <c r="C88" s="2"/>
      <c r="D88" s="2" t="str">
        <f t="shared" si="4"/>
        <v/>
      </c>
      <c r="E88" s="3" t="str">
        <f t="shared" si="5"/>
        <v/>
      </c>
    </row>
    <row r="89" spans="1:5" x14ac:dyDescent="0.3">
      <c r="A89" s="4" t="s">
        <v>15</v>
      </c>
      <c r="B89" s="2"/>
      <c r="C89" s="2"/>
      <c r="D89" s="2" t="str">
        <f t="shared" si="4"/>
        <v/>
      </c>
      <c r="E89" s="3" t="str">
        <f t="shared" si="5"/>
        <v/>
      </c>
    </row>
    <row r="90" spans="1:5" x14ac:dyDescent="0.3">
      <c r="A90" s="4" t="s">
        <v>15</v>
      </c>
      <c r="B90" s="2"/>
      <c r="C90" s="2"/>
      <c r="D90" s="2" t="str">
        <f t="shared" si="4"/>
        <v/>
      </c>
      <c r="E90" s="3" t="str">
        <f t="shared" si="5"/>
        <v/>
      </c>
    </row>
    <row r="91" spans="1:5" x14ac:dyDescent="0.3">
      <c r="A91" s="4" t="s">
        <v>15</v>
      </c>
      <c r="B91" s="2"/>
      <c r="C91" s="2"/>
      <c r="D91" s="2" t="str">
        <f t="shared" si="4"/>
        <v/>
      </c>
      <c r="E91" s="3" t="str">
        <f t="shared" si="5"/>
        <v/>
      </c>
    </row>
    <row r="92" spans="1:5" x14ac:dyDescent="0.3">
      <c r="A92" s="4" t="s">
        <v>15</v>
      </c>
      <c r="B92" s="2"/>
      <c r="C92" s="2"/>
      <c r="D92" s="2" t="str">
        <f t="shared" si="4"/>
        <v/>
      </c>
      <c r="E92" s="3" t="str">
        <f t="shared" si="5"/>
        <v/>
      </c>
    </row>
    <row r="93" spans="1:5" x14ac:dyDescent="0.3">
      <c r="A93" s="4" t="s">
        <v>15</v>
      </c>
      <c r="B93" s="2"/>
      <c r="C93" s="2"/>
      <c r="D93" s="2" t="str">
        <f t="shared" si="4"/>
        <v/>
      </c>
      <c r="E93" s="3" t="str">
        <f t="shared" si="5"/>
        <v/>
      </c>
    </row>
    <row r="94" spans="1:5" x14ac:dyDescent="0.3">
      <c r="A94" s="4" t="s">
        <v>15</v>
      </c>
      <c r="B94" s="2"/>
      <c r="C94" s="2"/>
      <c r="D94" s="2" t="str">
        <f t="shared" si="4"/>
        <v/>
      </c>
      <c r="E94" s="3" t="str">
        <f t="shared" si="5"/>
        <v/>
      </c>
    </row>
    <row r="95" spans="1:5" x14ac:dyDescent="0.3">
      <c r="A95" s="4" t="s">
        <v>15</v>
      </c>
      <c r="B95" s="2"/>
      <c r="C95" s="2"/>
      <c r="D95" s="2" t="str">
        <f t="shared" si="4"/>
        <v/>
      </c>
      <c r="E95" s="3" t="str">
        <f t="shared" si="5"/>
        <v/>
      </c>
    </row>
    <row r="96" spans="1:5" x14ac:dyDescent="0.3">
      <c r="A96" s="4" t="s">
        <v>15</v>
      </c>
      <c r="B96" s="2"/>
      <c r="C96" s="2"/>
      <c r="D96" s="2" t="str">
        <f t="shared" si="4"/>
        <v/>
      </c>
      <c r="E96" s="3" t="str">
        <f t="shared" si="5"/>
        <v/>
      </c>
    </row>
    <row r="97" spans="1:5" x14ac:dyDescent="0.3">
      <c r="A97" s="4" t="s">
        <v>15</v>
      </c>
      <c r="B97" s="2"/>
      <c r="C97" s="2"/>
      <c r="D97" s="2" t="str">
        <f t="shared" si="4"/>
        <v/>
      </c>
      <c r="E97" s="3" t="str">
        <f t="shared" si="5"/>
        <v/>
      </c>
    </row>
    <row r="98" spans="1:5" x14ac:dyDescent="0.3">
      <c r="A98" s="4" t="s">
        <v>15</v>
      </c>
      <c r="B98" s="2"/>
      <c r="C98" s="2"/>
      <c r="D98" s="2" t="str">
        <f t="shared" ref="D98:D129" si="6">IF(OR(B98="",C98=""),"",B98-C98)</f>
        <v/>
      </c>
      <c r="E98" s="3" t="str">
        <f t="shared" ref="E98:E129" si="7">IF(B98=0,"",D98/B98)</f>
        <v/>
      </c>
    </row>
    <row r="99" spans="1:5" x14ac:dyDescent="0.3">
      <c r="A99" s="4" t="s">
        <v>15</v>
      </c>
      <c r="B99" s="2"/>
      <c r="C99" s="2"/>
      <c r="D99" s="2" t="str">
        <f t="shared" si="6"/>
        <v/>
      </c>
      <c r="E99" s="3" t="str">
        <f t="shared" si="7"/>
        <v/>
      </c>
    </row>
    <row r="100" spans="1:5" x14ac:dyDescent="0.3">
      <c r="A100" s="4" t="s">
        <v>15</v>
      </c>
      <c r="B100" s="2"/>
      <c r="C100" s="2"/>
      <c r="D100" s="2" t="str">
        <f t="shared" si="6"/>
        <v/>
      </c>
      <c r="E100" s="3" t="str">
        <f t="shared" si="7"/>
        <v/>
      </c>
    </row>
    <row r="101" spans="1:5" x14ac:dyDescent="0.3">
      <c r="A101" s="4" t="s">
        <v>15</v>
      </c>
      <c r="B101" s="2"/>
      <c r="C101" s="2"/>
      <c r="D101" s="2" t="str">
        <f t="shared" si="6"/>
        <v/>
      </c>
      <c r="E101" s="3" t="str">
        <f t="shared" si="7"/>
        <v/>
      </c>
    </row>
    <row r="102" spans="1:5" x14ac:dyDescent="0.3">
      <c r="A102" s="4" t="s">
        <v>15</v>
      </c>
      <c r="B102" s="2"/>
      <c r="C102" s="2"/>
      <c r="D102" s="2" t="str">
        <f t="shared" si="6"/>
        <v/>
      </c>
      <c r="E102" s="3" t="str">
        <f t="shared" si="7"/>
        <v/>
      </c>
    </row>
    <row r="103" spans="1:5" x14ac:dyDescent="0.3">
      <c r="A103" s="4" t="s">
        <v>15</v>
      </c>
      <c r="B103" s="2"/>
      <c r="C103" s="2"/>
      <c r="D103" s="2" t="str">
        <f t="shared" si="6"/>
        <v/>
      </c>
      <c r="E103" s="3" t="str">
        <f t="shared" si="7"/>
        <v/>
      </c>
    </row>
    <row r="104" spans="1:5" x14ac:dyDescent="0.3">
      <c r="A104" s="4" t="s">
        <v>15</v>
      </c>
      <c r="B104" s="2"/>
      <c r="C104" s="2"/>
      <c r="D104" s="2" t="str">
        <f t="shared" si="6"/>
        <v/>
      </c>
      <c r="E104" s="3" t="str">
        <f t="shared" si="7"/>
        <v/>
      </c>
    </row>
    <row r="105" spans="1:5" x14ac:dyDescent="0.3">
      <c r="A105" s="4" t="s">
        <v>15</v>
      </c>
      <c r="B105" s="2"/>
      <c r="C105" s="2"/>
      <c r="D105" s="2" t="str">
        <f t="shared" si="6"/>
        <v/>
      </c>
      <c r="E105" s="3" t="str">
        <f t="shared" si="7"/>
        <v/>
      </c>
    </row>
    <row r="106" spans="1:5" x14ac:dyDescent="0.3">
      <c r="A106" s="4" t="s">
        <v>15</v>
      </c>
      <c r="B106" s="2"/>
      <c r="C106" s="2"/>
      <c r="D106" s="2" t="str">
        <f t="shared" si="6"/>
        <v/>
      </c>
      <c r="E106" s="3" t="str">
        <f t="shared" si="7"/>
        <v/>
      </c>
    </row>
    <row r="107" spans="1:5" x14ac:dyDescent="0.3">
      <c r="A107" s="4" t="s">
        <v>15</v>
      </c>
      <c r="B107" s="2"/>
      <c r="C107" s="2"/>
      <c r="D107" s="2" t="str">
        <f t="shared" si="6"/>
        <v/>
      </c>
      <c r="E107" s="3" t="str">
        <f t="shared" si="7"/>
        <v/>
      </c>
    </row>
    <row r="108" spans="1:5" x14ac:dyDescent="0.3">
      <c r="A108" s="4" t="s">
        <v>15</v>
      </c>
      <c r="B108" s="2"/>
      <c r="C108" s="2"/>
      <c r="D108" s="2" t="str">
        <f t="shared" si="6"/>
        <v/>
      </c>
      <c r="E108" s="3" t="str">
        <f t="shared" si="7"/>
        <v/>
      </c>
    </row>
    <row r="109" spans="1:5" x14ac:dyDescent="0.3">
      <c r="A109" s="4" t="s">
        <v>15</v>
      </c>
      <c r="B109" s="2"/>
      <c r="C109" s="2"/>
      <c r="D109" s="2" t="str">
        <f t="shared" si="6"/>
        <v/>
      </c>
      <c r="E109" s="3" t="str">
        <f t="shared" si="7"/>
        <v/>
      </c>
    </row>
    <row r="110" spans="1:5" x14ac:dyDescent="0.3">
      <c r="A110" s="4" t="s">
        <v>15</v>
      </c>
      <c r="B110" s="2"/>
      <c r="C110" s="2"/>
      <c r="D110" s="2" t="str">
        <f t="shared" si="6"/>
        <v/>
      </c>
      <c r="E110" s="3" t="str">
        <f t="shared" si="7"/>
        <v/>
      </c>
    </row>
    <row r="111" spans="1:5" x14ac:dyDescent="0.3">
      <c r="A111" s="4" t="s">
        <v>15</v>
      </c>
      <c r="B111" s="2"/>
      <c r="C111" s="2"/>
      <c r="D111" s="2" t="str">
        <f t="shared" si="6"/>
        <v/>
      </c>
      <c r="E111" s="3" t="str">
        <f t="shared" si="7"/>
        <v/>
      </c>
    </row>
    <row r="112" spans="1:5" x14ac:dyDescent="0.3">
      <c r="A112" s="4" t="s">
        <v>15</v>
      </c>
      <c r="B112" s="2"/>
      <c r="C112" s="2"/>
      <c r="D112" s="2" t="str">
        <f t="shared" si="6"/>
        <v/>
      </c>
      <c r="E112" s="3" t="str">
        <f t="shared" si="7"/>
        <v/>
      </c>
    </row>
    <row r="113" spans="1:5" x14ac:dyDescent="0.3">
      <c r="A113" s="4" t="s">
        <v>15</v>
      </c>
      <c r="B113" s="2"/>
      <c r="C113" s="2"/>
      <c r="D113" s="2" t="str">
        <f t="shared" si="6"/>
        <v/>
      </c>
      <c r="E113" s="3" t="str">
        <f t="shared" si="7"/>
        <v/>
      </c>
    </row>
    <row r="114" spans="1:5" x14ac:dyDescent="0.3">
      <c r="A114" s="4" t="s">
        <v>15</v>
      </c>
      <c r="B114" s="2"/>
      <c r="C114" s="2"/>
      <c r="D114" s="2" t="str">
        <f t="shared" si="6"/>
        <v/>
      </c>
      <c r="E114" s="3" t="str">
        <f t="shared" si="7"/>
        <v/>
      </c>
    </row>
    <row r="115" spans="1:5" x14ac:dyDescent="0.3">
      <c r="A115" s="4" t="s">
        <v>15</v>
      </c>
      <c r="B115" s="2"/>
      <c r="C115" s="2"/>
      <c r="D115" s="2" t="str">
        <f t="shared" si="6"/>
        <v/>
      </c>
      <c r="E115" s="3" t="str">
        <f t="shared" si="7"/>
        <v/>
      </c>
    </row>
    <row r="116" spans="1:5" x14ac:dyDescent="0.3">
      <c r="A116" s="4" t="s">
        <v>15</v>
      </c>
      <c r="B116" s="2"/>
      <c r="C116" s="2"/>
      <c r="D116" s="2" t="str">
        <f t="shared" si="6"/>
        <v/>
      </c>
      <c r="E116" s="3" t="str">
        <f t="shared" si="7"/>
        <v/>
      </c>
    </row>
    <row r="117" spans="1:5" x14ac:dyDescent="0.3">
      <c r="A117" s="4" t="s">
        <v>15</v>
      </c>
      <c r="B117" s="2"/>
      <c r="C117" s="2"/>
      <c r="D117" s="2" t="str">
        <f t="shared" si="6"/>
        <v/>
      </c>
      <c r="E117" s="3" t="str">
        <f t="shared" si="7"/>
        <v/>
      </c>
    </row>
    <row r="118" spans="1:5" x14ac:dyDescent="0.3">
      <c r="A118" s="4" t="s">
        <v>15</v>
      </c>
      <c r="B118" s="2"/>
      <c r="C118" s="2"/>
      <c r="D118" s="2" t="str">
        <f t="shared" si="6"/>
        <v/>
      </c>
      <c r="E118" s="3" t="str">
        <f t="shared" si="7"/>
        <v/>
      </c>
    </row>
    <row r="119" spans="1:5" x14ac:dyDescent="0.3">
      <c r="A119" s="4" t="s">
        <v>15</v>
      </c>
      <c r="B119" s="2"/>
      <c r="C119" s="2"/>
      <c r="D119" s="2" t="str">
        <f t="shared" si="6"/>
        <v/>
      </c>
      <c r="E119" s="3" t="str">
        <f t="shared" si="7"/>
        <v/>
      </c>
    </row>
    <row r="120" spans="1:5" x14ac:dyDescent="0.3">
      <c r="A120" s="4" t="s">
        <v>15</v>
      </c>
      <c r="B120" s="2"/>
      <c r="C120" s="2"/>
      <c r="D120" s="2" t="str">
        <f t="shared" si="6"/>
        <v/>
      </c>
      <c r="E120" s="3" t="str">
        <f t="shared" si="7"/>
        <v/>
      </c>
    </row>
    <row r="121" spans="1:5" x14ac:dyDescent="0.3">
      <c r="A121" s="4" t="s">
        <v>15</v>
      </c>
      <c r="B121" s="2"/>
      <c r="C121" s="2"/>
      <c r="D121" s="2" t="str">
        <f t="shared" si="6"/>
        <v/>
      </c>
      <c r="E121" s="3" t="str">
        <f t="shared" si="7"/>
        <v/>
      </c>
    </row>
    <row r="122" spans="1:5" x14ac:dyDescent="0.3">
      <c r="A122" s="4" t="s">
        <v>15</v>
      </c>
      <c r="B122" s="2"/>
      <c r="C122" s="2"/>
      <c r="D122" s="2" t="str">
        <f t="shared" si="6"/>
        <v/>
      </c>
      <c r="E122" s="3" t="str">
        <f t="shared" si="7"/>
        <v/>
      </c>
    </row>
    <row r="123" spans="1:5" x14ac:dyDescent="0.3">
      <c r="A123" s="4" t="s">
        <v>15</v>
      </c>
      <c r="B123" s="2"/>
      <c r="C123" s="2"/>
      <c r="D123" s="2" t="str">
        <f t="shared" si="6"/>
        <v/>
      </c>
      <c r="E123" s="3" t="str">
        <f t="shared" si="7"/>
        <v/>
      </c>
    </row>
    <row r="124" spans="1:5" x14ac:dyDescent="0.3">
      <c r="A124" s="4" t="s">
        <v>15</v>
      </c>
      <c r="B124" s="2"/>
      <c r="C124" s="2"/>
      <c r="D124" s="2" t="str">
        <f t="shared" si="6"/>
        <v/>
      </c>
      <c r="E124" s="3" t="str">
        <f t="shared" si="7"/>
        <v/>
      </c>
    </row>
    <row r="125" spans="1:5" x14ac:dyDescent="0.3">
      <c r="A125" s="4" t="s">
        <v>15</v>
      </c>
      <c r="B125" s="2"/>
      <c r="C125" s="2"/>
      <c r="D125" s="2" t="str">
        <f t="shared" si="6"/>
        <v/>
      </c>
      <c r="E125" s="3" t="str">
        <f t="shared" si="7"/>
        <v/>
      </c>
    </row>
    <row r="126" spans="1:5" x14ac:dyDescent="0.3">
      <c r="A126" s="4" t="s">
        <v>15</v>
      </c>
      <c r="B126" s="2"/>
      <c r="C126" s="2"/>
      <c r="D126" s="2" t="str">
        <f t="shared" si="6"/>
        <v/>
      </c>
      <c r="E126" s="3" t="str">
        <f t="shared" si="7"/>
        <v/>
      </c>
    </row>
    <row r="127" spans="1:5" x14ac:dyDescent="0.3">
      <c r="A127" s="4" t="s">
        <v>15</v>
      </c>
      <c r="B127" s="2"/>
      <c r="C127" s="2"/>
      <c r="D127" s="2" t="str">
        <f t="shared" si="6"/>
        <v/>
      </c>
      <c r="E127" s="3" t="str">
        <f t="shared" si="7"/>
        <v/>
      </c>
    </row>
    <row r="128" spans="1:5" x14ac:dyDescent="0.3">
      <c r="A128" s="4" t="s">
        <v>15</v>
      </c>
      <c r="B128" s="2"/>
      <c r="C128" s="2"/>
      <c r="D128" s="2" t="str">
        <f t="shared" si="6"/>
        <v/>
      </c>
      <c r="E128" s="3" t="str">
        <f t="shared" si="7"/>
        <v/>
      </c>
    </row>
    <row r="129" spans="1:5" x14ac:dyDescent="0.3">
      <c r="A129" s="4" t="s">
        <v>15</v>
      </c>
      <c r="B129" s="2"/>
      <c r="C129" s="2"/>
      <c r="D129" s="2" t="str">
        <f t="shared" si="6"/>
        <v/>
      </c>
      <c r="E129" s="3" t="str">
        <f t="shared" si="7"/>
        <v/>
      </c>
    </row>
    <row r="130" spans="1:5" x14ac:dyDescent="0.3">
      <c r="A130" s="4" t="s">
        <v>15</v>
      </c>
      <c r="B130" s="2"/>
      <c r="C130" s="2"/>
      <c r="D130" s="2" t="str">
        <f t="shared" ref="D130:D161" si="8">IF(OR(B130="",C130=""),"",B130-C130)</f>
        <v/>
      </c>
      <c r="E130" s="3" t="str">
        <f t="shared" ref="E130:E161" si="9">IF(B130=0,"",D130/B130)</f>
        <v/>
      </c>
    </row>
    <row r="131" spans="1:5" x14ac:dyDescent="0.3">
      <c r="A131" s="4" t="s">
        <v>15</v>
      </c>
      <c r="B131" s="2"/>
      <c r="C131" s="2"/>
      <c r="D131" s="2" t="str">
        <f t="shared" si="8"/>
        <v/>
      </c>
      <c r="E131" s="3" t="str">
        <f t="shared" si="9"/>
        <v/>
      </c>
    </row>
    <row r="132" spans="1:5" x14ac:dyDescent="0.3">
      <c r="A132" s="4" t="s">
        <v>15</v>
      </c>
      <c r="B132" s="2"/>
      <c r="C132" s="2"/>
      <c r="D132" s="2" t="str">
        <f t="shared" si="8"/>
        <v/>
      </c>
      <c r="E132" s="3" t="str">
        <f t="shared" si="9"/>
        <v/>
      </c>
    </row>
    <row r="133" spans="1:5" x14ac:dyDescent="0.3">
      <c r="A133" s="4" t="s">
        <v>15</v>
      </c>
      <c r="B133" s="2"/>
      <c r="C133" s="2"/>
      <c r="D133" s="2" t="str">
        <f t="shared" si="8"/>
        <v/>
      </c>
      <c r="E133" s="3" t="str">
        <f t="shared" si="9"/>
        <v/>
      </c>
    </row>
    <row r="134" spans="1:5" x14ac:dyDescent="0.3">
      <c r="A134" s="4" t="s">
        <v>15</v>
      </c>
      <c r="B134" s="2"/>
      <c r="C134" s="2"/>
      <c r="D134" s="2" t="str">
        <f t="shared" si="8"/>
        <v/>
      </c>
      <c r="E134" s="3" t="str">
        <f t="shared" si="9"/>
        <v/>
      </c>
    </row>
    <row r="135" spans="1:5" x14ac:dyDescent="0.3">
      <c r="A135" s="4" t="s">
        <v>15</v>
      </c>
      <c r="B135" s="2"/>
      <c r="C135" s="2"/>
      <c r="D135" s="2" t="str">
        <f t="shared" si="8"/>
        <v/>
      </c>
      <c r="E135" s="3" t="str">
        <f t="shared" si="9"/>
        <v/>
      </c>
    </row>
    <row r="136" spans="1:5" x14ac:dyDescent="0.3">
      <c r="A136" s="4" t="s">
        <v>15</v>
      </c>
      <c r="B136" s="2"/>
      <c r="C136" s="2"/>
      <c r="D136" s="2" t="str">
        <f t="shared" si="8"/>
        <v/>
      </c>
      <c r="E136" s="3" t="str">
        <f t="shared" si="9"/>
        <v/>
      </c>
    </row>
    <row r="137" spans="1:5" x14ac:dyDescent="0.3">
      <c r="A137" s="4" t="s">
        <v>15</v>
      </c>
      <c r="B137" s="2"/>
      <c r="C137" s="2"/>
      <c r="D137" s="2" t="str">
        <f t="shared" si="8"/>
        <v/>
      </c>
      <c r="E137" s="3" t="str">
        <f t="shared" si="9"/>
        <v/>
      </c>
    </row>
    <row r="138" spans="1:5" x14ac:dyDescent="0.3">
      <c r="A138" s="4" t="s">
        <v>15</v>
      </c>
      <c r="B138" s="2"/>
      <c r="C138" s="2"/>
      <c r="D138" s="2" t="str">
        <f t="shared" si="8"/>
        <v/>
      </c>
      <c r="E138" s="3" t="str">
        <f t="shared" si="9"/>
        <v/>
      </c>
    </row>
    <row r="139" spans="1:5" x14ac:dyDescent="0.3">
      <c r="A139" s="4" t="s">
        <v>15</v>
      </c>
      <c r="B139" s="2"/>
      <c r="C139" s="2"/>
      <c r="D139" s="2" t="str">
        <f t="shared" si="8"/>
        <v/>
      </c>
      <c r="E139" s="3" t="str">
        <f t="shared" si="9"/>
        <v/>
      </c>
    </row>
    <row r="140" spans="1:5" x14ac:dyDescent="0.3">
      <c r="A140" s="4" t="s">
        <v>15</v>
      </c>
      <c r="B140" s="2"/>
      <c r="C140" s="2"/>
      <c r="D140" s="2" t="str">
        <f t="shared" si="8"/>
        <v/>
      </c>
      <c r="E140" s="3" t="str">
        <f t="shared" si="9"/>
        <v/>
      </c>
    </row>
    <row r="141" spans="1:5" x14ac:dyDescent="0.3">
      <c r="A141" s="4" t="s">
        <v>15</v>
      </c>
      <c r="B141" s="2"/>
      <c r="C141" s="2"/>
      <c r="D141" s="2" t="str">
        <f t="shared" si="8"/>
        <v/>
      </c>
      <c r="E141" s="3" t="str">
        <f t="shared" si="9"/>
        <v/>
      </c>
    </row>
    <row r="142" spans="1:5" x14ac:dyDescent="0.3">
      <c r="A142" s="4" t="s">
        <v>15</v>
      </c>
      <c r="B142" s="2"/>
      <c r="C142" s="2"/>
      <c r="D142" s="2" t="str">
        <f t="shared" si="8"/>
        <v/>
      </c>
      <c r="E142" s="3" t="str">
        <f t="shared" si="9"/>
        <v/>
      </c>
    </row>
    <row r="143" spans="1:5" x14ac:dyDescent="0.3">
      <c r="A143" s="4" t="s">
        <v>15</v>
      </c>
      <c r="B143" s="2"/>
      <c r="C143" s="2"/>
      <c r="D143" s="2" t="str">
        <f t="shared" si="8"/>
        <v/>
      </c>
      <c r="E143" s="3" t="str">
        <f t="shared" si="9"/>
        <v/>
      </c>
    </row>
    <row r="144" spans="1:5" x14ac:dyDescent="0.3">
      <c r="A144" s="4" t="s">
        <v>15</v>
      </c>
      <c r="B144" s="2"/>
      <c r="C144" s="2"/>
      <c r="D144" s="2" t="str">
        <f t="shared" si="8"/>
        <v/>
      </c>
      <c r="E144" s="3" t="str">
        <f t="shared" si="9"/>
        <v/>
      </c>
    </row>
    <row r="145" spans="1:5" x14ac:dyDescent="0.3">
      <c r="A145" s="4" t="s">
        <v>15</v>
      </c>
      <c r="B145" s="2"/>
      <c r="C145" s="2"/>
      <c r="D145" s="2" t="str">
        <f t="shared" si="8"/>
        <v/>
      </c>
      <c r="E145" s="3" t="str">
        <f t="shared" si="9"/>
        <v/>
      </c>
    </row>
    <row r="146" spans="1:5" x14ac:dyDescent="0.3">
      <c r="A146" s="4" t="s">
        <v>15</v>
      </c>
      <c r="B146" s="2"/>
      <c r="C146" s="2"/>
      <c r="D146" s="2" t="str">
        <f t="shared" si="8"/>
        <v/>
      </c>
      <c r="E146" s="3" t="str">
        <f t="shared" si="9"/>
        <v/>
      </c>
    </row>
    <row r="147" spans="1:5" x14ac:dyDescent="0.3">
      <c r="A147" s="4" t="s">
        <v>15</v>
      </c>
      <c r="B147" s="2"/>
      <c r="C147" s="2"/>
      <c r="D147" s="2" t="str">
        <f t="shared" si="8"/>
        <v/>
      </c>
      <c r="E147" s="3" t="str">
        <f t="shared" si="9"/>
        <v/>
      </c>
    </row>
    <row r="148" spans="1:5" x14ac:dyDescent="0.3">
      <c r="A148" s="4" t="s">
        <v>15</v>
      </c>
      <c r="B148" s="2"/>
      <c r="C148" s="2"/>
      <c r="D148" s="2" t="str">
        <f t="shared" si="8"/>
        <v/>
      </c>
      <c r="E148" s="3" t="str">
        <f t="shared" si="9"/>
        <v/>
      </c>
    </row>
    <row r="149" spans="1:5" x14ac:dyDescent="0.3">
      <c r="A149" s="4" t="s">
        <v>15</v>
      </c>
      <c r="B149" s="2"/>
      <c r="C149" s="2"/>
      <c r="D149" s="2" t="str">
        <f t="shared" si="8"/>
        <v/>
      </c>
      <c r="E149" s="3" t="str">
        <f t="shared" si="9"/>
        <v/>
      </c>
    </row>
    <row r="150" spans="1:5" x14ac:dyDescent="0.3">
      <c r="A150" s="4" t="s">
        <v>15</v>
      </c>
      <c r="B150" s="2"/>
      <c r="C150" s="2"/>
      <c r="D150" s="2" t="str">
        <f t="shared" si="8"/>
        <v/>
      </c>
      <c r="E150" s="3" t="str">
        <f t="shared" si="9"/>
        <v/>
      </c>
    </row>
    <row r="151" spans="1:5" x14ac:dyDescent="0.3">
      <c r="A151" s="4" t="s">
        <v>15</v>
      </c>
      <c r="B151" s="2"/>
      <c r="C151" s="2"/>
      <c r="D151" s="2" t="str">
        <f t="shared" si="8"/>
        <v/>
      </c>
      <c r="E151" s="3" t="str">
        <f t="shared" si="9"/>
        <v/>
      </c>
    </row>
    <row r="152" spans="1:5" x14ac:dyDescent="0.3">
      <c r="A152" s="4" t="s">
        <v>15</v>
      </c>
      <c r="B152" s="2"/>
      <c r="C152" s="2"/>
      <c r="D152" s="2" t="str">
        <f t="shared" si="8"/>
        <v/>
      </c>
      <c r="E152" s="3" t="str">
        <f t="shared" si="9"/>
        <v/>
      </c>
    </row>
    <row r="153" spans="1:5" x14ac:dyDescent="0.3">
      <c r="A153" s="4" t="s">
        <v>15</v>
      </c>
      <c r="B153" s="2"/>
      <c r="C153" s="2"/>
      <c r="D153" s="2" t="str">
        <f t="shared" si="8"/>
        <v/>
      </c>
      <c r="E153" s="3" t="str">
        <f t="shared" si="9"/>
        <v/>
      </c>
    </row>
    <row r="154" spans="1:5" x14ac:dyDescent="0.3">
      <c r="A154" s="4" t="s">
        <v>15</v>
      </c>
      <c r="B154" s="2"/>
      <c r="C154" s="2"/>
      <c r="D154" s="2" t="str">
        <f t="shared" si="8"/>
        <v/>
      </c>
      <c r="E154" s="3" t="str">
        <f t="shared" si="9"/>
        <v/>
      </c>
    </row>
    <row r="155" spans="1:5" x14ac:dyDescent="0.3">
      <c r="A155" s="4" t="s">
        <v>15</v>
      </c>
      <c r="B155" s="2"/>
      <c r="C155" s="2"/>
      <c r="D155" s="2" t="str">
        <f t="shared" si="8"/>
        <v/>
      </c>
      <c r="E155" s="3" t="str">
        <f t="shared" si="9"/>
        <v/>
      </c>
    </row>
    <row r="156" spans="1:5" x14ac:dyDescent="0.3">
      <c r="A156" s="4" t="s">
        <v>15</v>
      </c>
      <c r="B156" s="2"/>
      <c r="C156" s="2"/>
      <c r="D156" s="2" t="str">
        <f t="shared" si="8"/>
        <v/>
      </c>
      <c r="E156" s="3" t="str">
        <f t="shared" si="9"/>
        <v/>
      </c>
    </row>
    <row r="157" spans="1:5" x14ac:dyDescent="0.3">
      <c r="A157" s="4" t="s">
        <v>15</v>
      </c>
      <c r="B157" s="2"/>
      <c r="C157" s="2"/>
      <c r="D157" s="2" t="str">
        <f t="shared" si="8"/>
        <v/>
      </c>
      <c r="E157" s="3" t="str">
        <f t="shared" si="9"/>
        <v/>
      </c>
    </row>
    <row r="158" spans="1:5" x14ac:dyDescent="0.3">
      <c r="A158" s="4" t="s">
        <v>15</v>
      </c>
      <c r="B158" s="2"/>
      <c r="C158" s="2"/>
      <c r="D158" s="2" t="str">
        <f t="shared" si="8"/>
        <v/>
      </c>
      <c r="E158" s="3" t="str">
        <f t="shared" si="9"/>
        <v/>
      </c>
    </row>
    <row r="159" spans="1:5" x14ac:dyDescent="0.3">
      <c r="A159" s="4" t="s">
        <v>15</v>
      </c>
      <c r="B159" s="2"/>
      <c r="C159" s="2"/>
      <c r="D159" s="2" t="str">
        <f t="shared" si="8"/>
        <v/>
      </c>
      <c r="E159" s="3" t="str">
        <f t="shared" si="9"/>
        <v/>
      </c>
    </row>
    <row r="160" spans="1:5" x14ac:dyDescent="0.3">
      <c r="A160" s="4" t="s">
        <v>15</v>
      </c>
      <c r="B160" s="2"/>
      <c r="C160" s="2"/>
      <c r="D160" s="2" t="str">
        <f t="shared" si="8"/>
        <v/>
      </c>
      <c r="E160" s="3" t="str">
        <f t="shared" si="9"/>
        <v/>
      </c>
    </row>
    <row r="161" spans="1:5" x14ac:dyDescent="0.3">
      <c r="A161" s="4" t="s">
        <v>15</v>
      </c>
      <c r="B161" s="2"/>
      <c r="C161" s="2"/>
      <c r="D161" s="2" t="str">
        <f t="shared" si="8"/>
        <v/>
      </c>
      <c r="E161" s="3" t="str">
        <f t="shared" si="9"/>
        <v/>
      </c>
    </row>
    <row r="162" spans="1:5" x14ac:dyDescent="0.3">
      <c r="A162" s="4" t="s">
        <v>15</v>
      </c>
      <c r="B162" s="2"/>
      <c r="C162" s="2"/>
      <c r="D162" s="2" t="str">
        <f t="shared" ref="D162:D193" si="10">IF(OR(B162="",C162=""),"",B162-C162)</f>
        <v/>
      </c>
      <c r="E162" s="3" t="str">
        <f t="shared" ref="E162:E193" si="11">IF(B162=0,"",D162/B162)</f>
        <v/>
      </c>
    </row>
    <row r="163" spans="1:5" x14ac:dyDescent="0.3">
      <c r="A163" s="4" t="s">
        <v>15</v>
      </c>
      <c r="B163" s="2"/>
      <c r="C163" s="2"/>
      <c r="D163" s="2" t="str">
        <f t="shared" si="10"/>
        <v/>
      </c>
      <c r="E163" s="3" t="str">
        <f t="shared" si="11"/>
        <v/>
      </c>
    </row>
    <row r="164" spans="1:5" x14ac:dyDescent="0.3">
      <c r="A164" s="4" t="s">
        <v>15</v>
      </c>
      <c r="B164" s="2"/>
      <c r="C164" s="2"/>
      <c r="D164" s="2" t="str">
        <f t="shared" si="10"/>
        <v/>
      </c>
      <c r="E164" s="3" t="str">
        <f t="shared" si="11"/>
        <v/>
      </c>
    </row>
    <row r="165" spans="1:5" x14ac:dyDescent="0.3">
      <c r="A165" s="4" t="s">
        <v>15</v>
      </c>
      <c r="B165" s="2"/>
      <c r="C165" s="2"/>
      <c r="D165" s="2" t="str">
        <f t="shared" si="10"/>
        <v/>
      </c>
      <c r="E165" s="3" t="str">
        <f t="shared" si="11"/>
        <v/>
      </c>
    </row>
    <row r="166" spans="1:5" x14ac:dyDescent="0.3">
      <c r="A166" s="4" t="s">
        <v>15</v>
      </c>
      <c r="B166" s="2"/>
      <c r="C166" s="2"/>
      <c r="D166" s="2" t="str">
        <f t="shared" si="10"/>
        <v/>
      </c>
      <c r="E166" s="3" t="str">
        <f t="shared" si="11"/>
        <v/>
      </c>
    </row>
    <row r="167" spans="1:5" x14ac:dyDescent="0.3">
      <c r="A167" s="4" t="s">
        <v>15</v>
      </c>
      <c r="B167" s="2"/>
      <c r="C167" s="2"/>
      <c r="D167" s="2" t="str">
        <f t="shared" si="10"/>
        <v/>
      </c>
      <c r="E167" s="3" t="str">
        <f t="shared" si="11"/>
        <v/>
      </c>
    </row>
    <row r="168" spans="1:5" x14ac:dyDescent="0.3">
      <c r="A168" s="4" t="s">
        <v>15</v>
      </c>
      <c r="B168" s="2"/>
      <c r="C168" s="2"/>
      <c r="D168" s="2" t="str">
        <f t="shared" si="10"/>
        <v/>
      </c>
      <c r="E168" s="3" t="str">
        <f t="shared" si="11"/>
        <v/>
      </c>
    </row>
    <row r="169" spans="1:5" x14ac:dyDescent="0.3">
      <c r="A169" s="4" t="s">
        <v>15</v>
      </c>
      <c r="B169" s="2"/>
      <c r="C169" s="2"/>
      <c r="D169" s="2" t="str">
        <f t="shared" si="10"/>
        <v/>
      </c>
      <c r="E169" s="3" t="str">
        <f t="shared" si="11"/>
        <v/>
      </c>
    </row>
    <row r="170" spans="1:5" x14ac:dyDescent="0.3">
      <c r="A170" s="4" t="s">
        <v>15</v>
      </c>
      <c r="B170" s="2"/>
      <c r="C170" s="2"/>
      <c r="D170" s="2" t="str">
        <f t="shared" si="10"/>
        <v/>
      </c>
      <c r="E170" s="3" t="str">
        <f t="shared" si="11"/>
        <v/>
      </c>
    </row>
    <row r="171" spans="1:5" x14ac:dyDescent="0.3">
      <c r="A171" s="4" t="s">
        <v>15</v>
      </c>
      <c r="B171" s="2"/>
      <c r="C171" s="2"/>
      <c r="D171" s="2" t="str">
        <f t="shared" si="10"/>
        <v/>
      </c>
      <c r="E171" s="3" t="str">
        <f t="shared" si="11"/>
        <v/>
      </c>
    </row>
    <row r="172" spans="1:5" x14ac:dyDescent="0.3">
      <c r="A172" s="4" t="s">
        <v>15</v>
      </c>
      <c r="B172" s="2"/>
      <c r="C172" s="2"/>
      <c r="D172" s="2" t="str">
        <f t="shared" si="10"/>
        <v/>
      </c>
      <c r="E172" s="3" t="str">
        <f t="shared" si="11"/>
        <v/>
      </c>
    </row>
    <row r="173" spans="1:5" x14ac:dyDescent="0.3">
      <c r="A173" s="4" t="s">
        <v>15</v>
      </c>
      <c r="B173" s="2"/>
      <c r="C173" s="2"/>
      <c r="D173" s="2" t="str">
        <f t="shared" si="10"/>
        <v/>
      </c>
      <c r="E173" s="3" t="str">
        <f t="shared" si="11"/>
        <v/>
      </c>
    </row>
    <row r="174" spans="1:5" x14ac:dyDescent="0.3">
      <c r="A174" s="4" t="s">
        <v>15</v>
      </c>
      <c r="B174" s="2"/>
      <c r="C174" s="2"/>
      <c r="D174" s="2" t="str">
        <f t="shared" si="10"/>
        <v/>
      </c>
      <c r="E174" s="3" t="str">
        <f t="shared" si="11"/>
        <v/>
      </c>
    </row>
    <row r="175" spans="1:5" x14ac:dyDescent="0.3">
      <c r="A175" s="4" t="s">
        <v>15</v>
      </c>
      <c r="B175" s="2"/>
      <c r="C175" s="2"/>
      <c r="D175" s="2" t="str">
        <f t="shared" si="10"/>
        <v/>
      </c>
      <c r="E175" s="3" t="str">
        <f t="shared" si="11"/>
        <v/>
      </c>
    </row>
    <row r="176" spans="1:5" x14ac:dyDescent="0.3">
      <c r="A176" s="4" t="s">
        <v>15</v>
      </c>
      <c r="B176" s="2"/>
      <c r="C176" s="2"/>
      <c r="D176" s="2" t="str">
        <f t="shared" si="10"/>
        <v/>
      </c>
      <c r="E176" s="3" t="str">
        <f t="shared" si="11"/>
        <v/>
      </c>
    </row>
    <row r="177" spans="1:5" x14ac:dyDescent="0.3">
      <c r="A177" s="4" t="s">
        <v>15</v>
      </c>
      <c r="B177" s="2"/>
      <c r="C177" s="2"/>
      <c r="D177" s="2" t="str">
        <f t="shared" si="10"/>
        <v/>
      </c>
      <c r="E177" s="3" t="str">
        <f t="shared" si="11"/>
        <v/>
      </c>
    </row>
    <row r="178" spans="1:5" x14ac:dyDescent="0.3">
      <c r="A178" s="4" t="s">
        <v>15</v>
      </c>
      <c r="B178" s="2"/>
      <c r="C178" s="2"/>
      <c r="D178" s="2" t="str">
        <f t="shared" si="10"/>
        <v/>
      </c>
      <c r="E178" s="3" t="str">
        <f t="shared" si="11"/>
        <v/>
      </c>
    </row>
    <row r="179" spans="1:5" x14ac:dyDescent="0.3">
      <c r="A179" s="4" t="s">
        <v>15</v>
      </c>
      <c r="B179" s="2"/>
      <c r="C179" s="2"/>
      <c r="D179" s="2" t="str">
        <f t="shared" si="10"/>
        <v/>
      </c>
      <c r="E179" s="3" t="str">
        <f t="shared" si="11"/>
        <v/>
      </c>
    </row>
    <row r="180" spans="1:5" x14ac:dyDescent="0.3">
      <c r="A180" s="4" t="s">
        <v>15</v>
      </c>
      <c r="B180" s="2"/>
      <c r="C180" s="2"/>
      <c r="D180" s="2" t="str">
        <f t="shared" si="10"/>
        <v/>
      </c>
      <c r="E180" s="3" t="str">
        <f t="shared" si="11"/>
        <v/>
      </c>
    </row>
    <row r="181" spans="1:5" x14ac:dyDescent="0.3">
      <c r="A181" s="4" t="s">
        <v>15</v>
      </c>
      <c r="B181" s="2"/>
      <c r="C181" s="2"/>
      <c r="D181" s="2" t="str">
        <f t="shared" si="10"/>
        <v/>
      </c>
      <c r="E181" s="3" t="str">
        <f t="shared" si="11"/>
        <v/>
      </c>
    </row>
    <row r="182" spans="1:5" x14ac:dyDescent="0.3">
      <c r="A182" s="4" t="s">
        <v>15</v>
      </c>
      <c r="B182" s="2"/>
      <c r="C182" s="2"/>
      <c r="D182" s="2" t="str">
        <f t="shared" si="10"/>
        <v/>
      </c>
      <c r="E182" s="3" t="str">
        <f t="shared" si="11"/>
        <v/>
      </c>
    </row>
    <row r="183" spans="1:5" x14ac:dyDescent="0.3">
      <c r="A183" s="4" t="s">
        <v>15</v>
      </c>
      <c r="B183" s="2"/>
      <c r="C183" s="2"/>
      <c r="D183" s="2" t="str">
        <f t="shared" si="10"/>
        <v/>
      </c>
      <c r="E183" s="3" t="str">
        <f t="shared" si="11"/>
        <v/>
      </c>
    </row>
    <row r="184" spans="1:5" x14ac:dyDescent="0.3">
      <c r="A184" s="4" t="s">
        <v>15</v>
      </c>
      <c r="B184" s="2"/>
      <c r="C184" s="2"/>
      <c r="D184" s="2" t="str">
        <f t="shared" si="10"/>
        <v/>
      </c>
      <c r="E184" s="3" t="str">
        <f t="shared" si="11"/>
        <v/>
      </c>
    </row>
    <row r="185" spans="1:5" x14ac:dyDescent="0.3">
      <c r="A185" s="4" t="s">
        <v>15</v>
      </c>
      <c r="B185" s="2"/>
      <c r="C185" s="2"/>
      <c r="D185" s="2" t="str">
        <f t="shared" si="10"/>
        <v/>
      </c>
      <c r="E185" s="3" t="str">
        <f t="shared" si="11"/>
        <v/>
      </c>
    </row>
    <row r="186" spans="1:5" x14ac:dyDescent="0.3">
      <c r="A186" s="4" t="s">
        <v>15</v>
      </c>
      <c r="B186" s="2"/>
      <c r="C186" s="2"/>
      <c r="D186" s="2" t="str">
        <f t="shared" si="10"/>
        <v/>
      </c>
      <c r="E186" s="3" t="str">
        <f t="shared" si="11"/>
        <v/>
      </c>
    </row>
    <row r="187" spans="1:5" x14ac:dyDescent="0.3">
      <c r="A187" s="4" t="s">
        <v>15</v>
      </c>
      <c r="B187" s="2"/>
      <c r="C187" s="2"/>
      <c r="D187" s="2" t="str">
        <f t="shared" si="10"/>
        <v/>
      </c>
      <c r="E187" s="3" t="str">
        <f t="shared" si="11"/>
        <v/>
      </c>
    </row>
    <row r="188" spans="1:5" x14ac:dyDescent="0.3">
      <c r="A188" s="4" t="s">
        <v>15</v>
      </c>
      <c r="B188" s="2"/>
      <c r="C188" s="2"/>
      <c r="D188" s="2" t="str">
        <f t="shared" si="10"/>
        <v/>
      </c>
      <c r="E188" s="3" t="str">
        <f t="shared" si="11"/>
        <v/>
      </c>
    </row>
    <row r="189" spans="1:5" x14ac:dyDescent="0.3">
      <c r="A189" s="4" t="s">
        <v>15</v>
      </c>
      <c r="B189" s="2"/>
      <c r="C189" s="2"/>
      <c r="D189" s="2" t="str">
        <f t="shared" si="10"/>
        <v/>
      </c>
      <c r="E189" s="3" t="str">
        <f t="shared" si="11"/>
        <v/>
      </c>
    </row>
    <row r="190" spans="1:5" x14ac:dyDescent="0.3">
      <c r="A190" s="4" t="s">
        <v>15</v>
      </c>
      <c r="B190" s="2"/>
      <c r="C190" s="2"/>
      <c r="D190" s="2" t="str">
        <f t="shared" si="10"/>
        <v/>
      </c>
      <c r="E190" s="3" t="str">
        <f t="shared" si="11"/>
        <v/>
      </c>
    </row>
    <row r="191" spans="1:5" x14ac:dyDescent="0.3">
      <c r="A191" s="4" t="s">
        <v>15</v>
      </c>
      <c r="B191" s="2"/>
      <c r="C191" s="2"/>
      <c r="D191" s="2" t="str">
        <f t="shared" si="10"/>
        <v/>
      </c>
      <c r="E191" s="3" t="str">
        <f t="shared" si="11"/>
        <v/>
      </c>
    </row>
    <row r="192" spans="1:5" x14ac:dyDescent="0.3">
      <c r="A192" s="4" t="s">
        <v>15</v>
      </c>
      <c r="B192" s="2"/>
      <c r="C192" s="2"/>
      <c r="D192" s="2" t="str">
        <f t="shared" si="10"/>
        <v/>
      </c>
      <c r="E192" s="3" t="str">
        <f t="shared" si="11"/>
        <v/>
      </c>
    </row>
    <row r="193" spans="1:5" x14ac:dyDescent="0.3">
      <c r="A193" s="4" t="s">
        <v>15</v>
      </c>
      <c r="B193" s="2"/>
      <c r="C193" s="2"/>
      <c r="D193" s="2" t="str">
        <f t="shared" si="10"/>
        <v/>
      </c>
      <c r="E193" s="3" t="str">
        <f t="shared" si="11"/>
        <v/>
      </c>
    </row>
    <row r="194" spans="1:5" x14ac:dyDescent="0.3">
      <c r="A194" s="4" t="s">
        <v>15</v>
      </c>
      <c r="B194" s="2"/>
      <c r="C194" s="2"/>
      <c r="D194" s="2" t="str">
        <f t="shared" ref="D194:D225" si="12">IF(OR(B194="",C194=""),"",B194-C194)</f>
        <v/>
      </c>
      <c r="E194" s="3" t="str">
        <f t="shared" ref="E194:E225" si="13">IF(B194=0,"",D194/B194)</f>
        <v/>
      </c>
    </row>
    <row r="195" spans="1:5" x14ac:dyDescent="0.3">
      <c r="A195" s="4" t="s">
        <v>15</v>
      </c>
      <c r="B195" s="2"/>
      <c r="C195" s="2"/>
      <c r="D195" s="2" t="str">
        <f t="shared" si="12"/>
        <v/>
      </c>
      <c r="E195" s="3" t="str">
        <f t="shared" si="13"/>
        <v/>
      </c>
    </row>
    <row r="196" spans="1:5" x14ac:dyDescent="0.3">
      <c r="A196" s="4" t="s">
        <v>15</v>
      </c>
      <c r="B196" s="2"/>
      <c r="C196" s="2"/>
      <c r="D196" s="2" t="str">
        <f t="shared" si="12"/>
        <v/>
      </c>
      <c r="E196" s="3" t="str">
        <f t="shared" si="13"/>
        <v/>
      </c>
    </row>
    <row r="197" spans="1:5" x14ac:dyDescent="0.3">
      <c r="A197" s="4" t="s">
        <v>15</v>
      </c>
      <c r="B197" s="2"/>
      <c r="C197" s="2"/>
      <c r="D197" s="2" t="str">
        <f t="shared" si="12"/>
        <v/>
      </c>
      <c r="E197" s="3" t="str">
        <f t="shared" si="13"/>
        <v/>
      </c>
    </row>
    <row r="198" spans="1:5" x14ac:dyDescent="0.3">
      <c r="A198" s="4" t="s">
        <v>15</v>
      </c>
      <c r="B198" s="2"/>
      <c r="C198" s="2"/>
      <c r="D198" s="2" t="str">
        <f t="shared" si="12"/>
        <v/>
      </c>
      <c r="E198" s="3" t="str">
        <f t="shared" si="13"/>
        <v/>
      </c>
    </row>
    <row r="199" spans="1:5" x14ac:dyDescent="0.3">
      <c r="A199" s="4" t="s">
        <v>15</v>
      </c>
      <c r="B199" s="2"/>
      <c r="C199" s="2"/>
      <c r="D199" s="2" t="str">
        <f t="shared" si="12"/>
        <v/>
      </c>
      <c r="E199" s="3" t="str">
        <f t="shared" si="13"/>
        <v/>
      </c>
    </row>
    <row r="200" spans="1:5" x14ac:dyDescent="0.3">
      <c r="A200" s="4" t="s">
        <v>15</v>
      </c>
      <c r="B200" s="2"/>
      <c r="C200" s="2"/>
      <c r="D200" s="2" t="str">
        <f t="shared" si="12"/>
        <v/>
      </c>
      <c r="E200" s="3" t="str">
        <f t="shared" si="13"/>
        <v/>
      </c>
    </row>
    <row r="201" spans="1:5" x14ac:dyDescent="0.3">
      <c r="A201" s="4" t="s">
        <v>15</v>
      </c>
      <c r="B201" s="2"/>
      <c r="C201" s="2"/>
      <c r="D201" s="2" t="str">
        <f t="shared" si="12"/>
        <v/>
      </c>
      <c r="E201" s="3" t="str">
        <f t="shared" si="13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tabSelected="1" workbookViewId="0">
      <pane ySplit="5" topLeftCell="A6" activePane="bottomLeft" state="frozen"/>
      <selection pane="bottomLeft" activeCell="K9" sqref="K9"/>
    </sheetView>
  </sheetViews>
  <sheetFormatPr defaultRowHeight="14.4" x14ac:dyDescent="0.3"/>
  <cols>
    <col min="1" max="1" width="28" customWidth="1"/>
    <col min="2" max="2" width="12" customWidth="1"/>
    <col min="3" max="8" width="14" customWidth="1"/>
    <col min="9" max="9" width="11" customWidth="1"/>
    <col min="10" max="11" width="12" customWidth="1"/>
  </cols>
  <sheetData>
    <row r="1" spans="1:11" ht="18" x14ac:dyDescent="0.35">
      <c r="A1" s="5" t="s">
        <v>16</v>
      </c>
    </row>
    <row r="2" spans="1:11" x14ac:dyDescent="0.3">
      <c r="A2" s="1" t="s">
        <v>17</v>
      </c>
      <c r="B2" s="6"/>
      <c r="D2" s="1" t="s">
        <v>18</v>
      </c>
      <c r="E2" s="2">
        <f>SUM(F6:F205)</f>
        <v>1960</v>
      </c>
      <c r="F2" s="1" t="s">
        <v>19</v>
      </c>
      <c r="G2" s="2">
        <f>SUM(G6:G205)</f>
        <v>790</v>
      </c>
      <c r="H2" s="1" t="s">
        <v>20</v>
      </c>
      <c r="I2" s="2">
        <f>SUM(H6:H205)</f>
        <v>1170</v>
      </c>
      <c r="J2" s="1" t="s">
        <v>4</v>
      </c>
      <c r="K2" s="3"/>
    </row>
    <row r="3" spans="1:11" x14ac:dyDescent="0.3">
      <c r="D3" s="1" t="s">
        <v>21</v>
      </c>
      <c r="E3" s="2">
        <v>348</v>
      </c>
      <c r="F3" s="1" t="s">
        <v>22</v>
      </c>
      <c r="G3" s="2">
        <f>I2-E3</f>
        <v>822</v>
      </c>
      <c r="H3" s="1" t="s">
        <v>23</v>
      </c>
      <c r="I3" s="3"/>
    </row>
    <row r="4" spans="1:11" x14ac:dyDescent="0.3">
      <c r="A4" s="4" t="s">
        <v>24</v>
      </c>
    </row>
    <row r="5" spans="1:11" x14ac:dyDescent="0.3">
      <c r="A5" s="1" t="s">
        <v>0</v>
      </c>
      <c r="B5" s="1" t="s">
        <v>25</v>
      </c>
      <c r="C5" s="1" t="s">
        <v>26</v>
      </c>
      <c r="D5" s="1" t="s">
        <v>2</v>
      </c>
      <c r="E5" s="1" t="s">
        <v>3</v>
      </c>
      <c r="F5" s="1" t="s">
        <v>27</v>
      </c>
      <c r="G5" s="1" t="s">
        <v>19</v>
      </c>
      <c r="H5" s="1" t="s">
        <v>20</v>
      </c>
      <c r="I5" s="1" t="s">
        <v>4</v>
      </c>
    </row>
    <row r="6" spans="1:11" x14ac:dyDescent="0.3">
      <c r="A6" s="4" t="s">
        <v>5</v>
      </c>
      <c r="B6" s="4"/>
      <c r="C6" s="2">
        <f>IFERROR(VLOOKUP(A6,Urunler!A$2:E$201,2,FALSE),"")</f>
        <v>200</v>
      </c>
      <c r="D6" s="2">
        <f>IFERROR(VLOOKUP(A6,Urunler!A$2:E$201,3,FALSE),"")</f>
        <v>65</v>
      </c>
      <c r="E6" s="2">
        <f>IFERROR(VLOOKUP(A6,Urunler!A$2:E$201,4,FALSE),"")</f>
        <v>135</v>
      </c>
      <c r="F6" s="2" t="str">
        <f t="shared" ref="F6:F37" si="0">IF(OR(B6="",C6=""),"",B6*C6)</f>
        <v/>
      </c>
      <c r="G6" s="2" t="str">
        <f t="shared" ref="G6:G37" si="1">IF(OR(B6="",D6=""),"",B6*D6)</f>
        <v/>
      </c>
      <c r="H6" s="2" t="str">
        <f t="shared" ref="H6:H37" si="2">IF(OR(B6="",E6=""),"",B6*E6)</f>
        <v/>
      </c>
      <c r="I6" s="3" t="e">
        <f t="shared" ref="I6:I37" si="3">IF(F6=0,"",H6/F6)</f>
        <v>#VALUE!</v>
      </c>
    </row>
    <row r="7" spans="1:11" x14ac:dyDescent="0.3">
      <c r="A7" s="4" t="s">
        <v>6</v>
      </c>
      <c r="B7" s="4"/>
      <c r="C7" s="2">
        <f>IFERROR(VLOOKUP(A7,Urunler!A$2:E$201,2,FALSE),"")</f>
        <v>250</v>
      </c>
      <c r="D7" s="2">
        <f>IFERROR(VLOOKUP(A7,Urunler!A$2:E$201,3,FALSE),"")</f>
        <v>95</v>
      </c>
      <c r="E7" s="2">
        <f>IFERROR(VLOOKUP(A7,Urunler!A$2:E$201,4,FALSE),"")</f>
        <v>155</v>
      </c>
      <c r="F7" s="2" t="str">
        <f t="shared" si="0"/>
        <v/>
      </c>
      <c r="G7" s="2" t="str">
        <f t="shared" si="1"/>
        <v/>
      </c>
      <c r="H7" s="2" t="str">
        <f t="shared" si="2"/>
        <v/>
      </c>
      <c r="I7" s="3" t="e">
        <f t="shared" si="3"/>
        <v>#VALUE!</v>
      </c>
    </row>
    <row r="8" spans="1:11" x14ac:dyDescent="0.3">
      <c r="A8" s="4" t="s">
        <v>7</v>
      </c>
      <c r="B8" s="4">
        <v>3</v>
      </c>
      <c r="C8" s="2">
        <f>IFERROR(VLOOKUP(A8,Urunler!A$2:E$201,2,FALSE),"")</f>
        <v>100</v>
      </c>
      <c r="D8" s="2">
        <f>IFERROR(VLOOKUP(A8,Urunler!A$2:E$201,3,FALSE),"")</f>
        <v>40</v>
      </c>
      <c r="E8" s="2">
        <f>IFERROR(VLOOKUP(A8,Urunler!A$2:E$201,4,FALSE),"")</f>
        <v>60</v>
      </c>
      <c r="F8" s="2">
        <f t="shared" si="0"/>
        <v>300</v>
      </c>
      <c r="G8" s="2">
        <f t="shared" si="1"/>
        <v>120</v>
      </c>
      <c r="H8" s="2">
        <f t="shared" si="2"/>
        <v>180</v>
      </c>
      <c r="I8" s="3">
        <f t="shared" si="3"/>
        <v>0.6</v>
      </c>
    </row>
    <row r="9" spans="1:11" x14ac:dyDescent="0.3">
      <c r="A9" s="4" t="s">
        <v>8</v>
      </c>
      <c r="B9" s="4">
        <v>6</v>
      </c>
      <c r="C9" s="2">
        <f>IFERROR(VLOOKUP(A9,Urunler!A$2:E$201,2,FALSE),"")</f>
        <v>110</v>
      </c>
      <c r="D9" s="2">
        <f>IFERROR(VLOOKUP(A9,Urunler!A$2:E$201,3,FALSE),"")</f>
        <v>45</v>
      </c>
      <c r="E9" s="2">
        <f>IFERROR(VLOOKUP(A9,Urunler!A$2:E$201,4,FALSE),"")</f>
        <v>65</v>
      </c>
      <c r="F9" s="2">
        <f t="shared" si="0"/>
        <v>660</v>
      </c>
      <c r="G9" s="2">
        <f t="shared" si="1"/>
        <v>270</v>
      </c>
      <c r="H9" s="2">
        <f t="shared" si="2"/>
        <v>390</v>
      </c>
      <c r="I9" s="3">
        <f t="shared" si="3"/>
        <v>0.59090909090909094</v>
      </c>
    </row>
    <row r="10" spans="1:11" x14ac:dyDescent="0.3">
      <c r="A10" s="4" t="s">
        <v>9</v>
      </c>
      <c r="B10" s="4">
        <v>4</v>
      </c>
      <c r="C10" s="2">
        <f>IFERROR(VLOOKUP(A10,Urunler!A$2:E$201,2,FALSE),"")</f>
        <v>100</v>
      </c>
      <c r="D10" s="2">
        <f>IFERROR(VLOOKUP(A10,Urunler!A$2:E$201,3,FALSE),"")</f>
        <v>35</v>
      </c>
      <c r="E10" s="2">
        <f>IFERROR(VLOOKUP(A10,Urunler!A$2:E$201,4,FALSE),"")</f>
        <v>65</v>
      </c>
      <c r="F10" s="2">
        <f t="shared" si="0"/>
        <v>400</v>
      </c>
      <c r="G10" s="2">
        <f t="shared" si="1"/>
        <v>140</v>
      </c>
      <c r="H10" s="2">
        <f t="shared" si="2"/>
        <v>260</v>
      </c>
      <c r="I10" s="3">
        <f t="shared" si="3"/>
        <v>0.65</v>
      </c>
    </row>
    <row r="11" spans="1:11" x14ac:dyDescent="0.3">
      <c r="A11" s="4" t="s">
        <v>10</v>
      </c>
      <c r="B11" s="4"/>
      <c r="C11" s="2">
        <f>IFERROR(VLOOKUP(A11,Urunler!A$2:E$201,2,FALSE),"")</f>
        <v>110</v>
      </c>
      <c r="D11" s="2">
        <f>IFERROR(VLOOKUP(A11,Urunler!A$2:E$201,3,FALSE),"")</f>
        <v>40</v>
      </c>
      <c r="E11" s="2">
        <f>IFERROR(VLOOKUP(A11,Urunler!A$2:E$201,4,FALSE),"")</f>
        <v>70</v>
      </c>
      <c r="F11" s="2" t="str">
        <f t="shared" si="0"/>
        <v/>
      </c>
      <c r="G11" s="2" t="str">
        <f t="shared" si="1"/>
        <v/>
      </c>
      <c r="H11" s="2" t="str">
        <f t="shared" si="2"/>
        <v/>
      </c>
      <c r="I11" s="3" t="e">
        <f t="shared" si="3"/>
        <v>#VALUE!</v>
      </c>
    </row>
    <row r="12" spans="1:11" x14ac:dyDescent="0.3">
      <c r="A12" s="4" t="s">
        <v>11</v>
      </c>
      <c r="B12" s="4"/>
      <c r="C12" s="2">
        <f>IFERROR(VLOOKUP(A12,Urunler!A$2:E$201,2,FALSE),"")</f>
        <v>200</v>
      </c>
      <c r="D12" s="2">
        <f>IFERROR(VLOOKUP(A12,Urunler!A$2:E$201,3,FALSE),"")</f>
        <v>50</v>
      </c>
      <c r="E12" s="2">
        <f>IFERROR(VLOOKUP(A12,Urunler!A$2:E$201,4,FALSE),"")</f>
        <v>150</v>
      </c>
      <c r="F12" s="2" t="str">
        <f t="shared" si="0"/>
        <v/>
      </c>
      <c r="G12" s="2" t="str">
        <f t="shared" si="1"/>
        <v/>
      </c>
      <c r="H12" s="2" t="str">
        <f t="shared" si="2"/>
        <v/>
      </c>
      <c r="I12" s="3" t="e">
        <f t="shared" si="3"/>
        <v>#VALUE!</v>
      </c>
    </row>
    <row r="13" spans="1:11" x14ac:dyDescent="0.3">
      <c r="A13" s="4" t="s">
        <v>12</v>
      </c>
      <c r="B13" s="4"/>
      <c r="C13" s="2">
        <f>IFERROR(VLOOKUP(A13,Urunler!A$2:E$201,2,FALSE),"")</f>
        <v>100</v>
      </c>
      <c r="D13" s="2">
        <f>IFERROR(VLOOKUP(A13,Urunler!A$2:E$201,3,FALSE),"")</f>
        <v>60</v>
      </c>
      <c r="E13" s="2">
        <f>IFERROR(VLOOKUP(A13,Urunler!A$2:E$201,4,FALSE),"")</f>
        <v>40</v>
      </c>
      <c r="F13" s="2" t="str">
        <f t="shared" si="0"/>
        <v/>
      </c>
      <c r="G13" s="2" t="str">
        <f t="shared" si="1"/>
        <v/>
      </c>
      <c r="H13" s="2" t="str">
        <f t="shared" si="2"/>
        <v/>
      </c>
      <c r="I13" s="3" t="e">
        <f t="shared" si="3"/>
        <v>#VALUE!</v>
      </c>
    </row>
    <row r="14" spans="1:11" x14ac:dyDescent="0.3">
      <c r="A14" s="4" t="s">
        <v>13</v>
      </c>
      <c r="B14" s="4">
        <v>2</v>
      </c>
      <c r="C14" s="2">
        <f>IFERROR(VLOOKUP(A14,Urunler!A$2:E$201,2,FALSE),"")</f>
        <v>300</v>
      </c>
      <c r="D14" s="2">
        <f>IFERROR(VLOOKUP(A14,Urunler!A$2:E$201,3,FALSE),"")</f>
        <v>130</v>
      </c>
      <c r="E14" s="2">
        <f>IFERROR(VLOOKUP(A14,Urunler!A$2:E$201,4,FALSE),"")</f>
        <v>170</v>
      </c>
      <c r="F14" s="2">
        <f t="shared" si="0"/>
        <v>600</v>
      </c>
      <c r="G14" s="2">
        <f t="shared" si="1"/>
        <v>260</v>
      </c>
      <c r="H14" s="2">
        <f t="shared" si="2"/>
        <v>340</v>
      </c>
      <c r="I14" s="3">
        <f t="shared" si="3"/>
        <v>0.56666666666666665</v>
      </c>
    </row>
    <row r="15" spans="1:11" x14ac:dyDescent="0.3">
      <c r="A15" s="4" t="s">
        <v>14</v>
      </c>
      <c r="B15" s="4"/>
      <c r="C15" s="2">
        <f>IFERROR(VLOOKUP(A15,Urunler!A$2:E$201,2,FALSE),"")</f>
        <v>250</v>
      </c>
      <c r="D15" s="2">
        <f>IFERROR(VLOOKUP(A15,Urunler!A$2:E$201,3,FALSE),"")</f>
        <v>100</v>
      </c>
      <c r="E15" s="2">
        <f>IFERROR(VLOOKUP(A15,Urunler!A$2:E$201,4,FALSE),"")</f>
        <v>150</v>
      </c>
      <c r="F15" s="2" t="str">
        <f t="shared" si="0"/>
        <v/>
      </c>
      <c r="G15" s="2" t="str">
        <f t="shared" si="1"/>
        <v/>
      </c>
      <c r="H15" s="2" t="str">
        <f t="shared" si="2"/>
        <v/>
      </c>
      <c r="I15" s="3" t="e">
        <f t="shared" si="3"/>
        <v>#VALUE!</v>
      </c>
    </row>
    <row r="16" spans="1:11" x14ac:dyDescent="0.3">
      <c r="A16" s="4" t="s">
        <v>15</v>
      </c>
      <c r="B16" s="4"/>
      <c r="C16" s="2">
        <f>IFERROR(VLOOKUP(A16,Urunler!A$2:E$201,2,FALSE),"")</f>
        <v>0</v>
      </c>
      <c r="D16" s="2">
        <f>IFERROR(VLOOKUP(A16,Urunler!A$2:E$201,3,FALSE),"")</f>
        <v>0</v>
      </c>
      <c r="E16" s="2" t="str">
        <f>IFERROR(VLOOKUP(A16,Urunler!A$2:E$201,4,FALSE),"")</f>
        <v/>
      </c>
      <c r="F16" s="2" t="str">
        <f t="shared" si="0"/>
        <v/>
      </c>
      <c r="G16" s="2" t="str">
        <f t="shared" si="1"/>
        <v/>
      </c>
      <c r="H16" s="2" t="str">
        <f t="shared" si="2"/>
        <v/>
      </c>
      <c r="I16" s="3" t="e">
        <f t="shared" si="3"/>
        <v>#VALUE!</v>
      </c>
    </row>
    <row r="17" spans="1:9" x14ac:dyDescent="0.3">
      <c r="A17" s="4" t="s">
        <v>15</v>
      </c>
      <c r="B17" s="4"/>
      <c r="C17" s="2">
        <f>IFERROR(VLOOKUP(A17,Urunler!A$2:E$201,2,FALSE),"")</f>
        <v>0</v>
      </c>
      <c r="D17" s="2">
        <f>IFERROR(VLOOKUP(A17,Urunler!A$2:E$201,3,FALSE),"")</f>
        <v>0</v>
      </c>
      <c r="E17" s="2" t="str">
        <f>IFERROR(VLOOKUP(A17,Urunler!A$2:E$201,4,FALSE),"")</f>
        <v/>
      </c>
      <c r="F17" s="2" t="str">
        <f t="shared" si="0"/>
        <v/>
      </c>
      <c r="G17" s="2" t="str">
        <f t="shared" si="1"/>
        <v/>
      </c>
      <c r="H17" s="2" t="str">
        <f t="shared" si="2"/>
        <v/>
      </c>
      <c r="I17" s="3" t="e">
        <f t="shared" si="3"/>
        <v>#VALUE!</v>
      </c>
    </row>
    <row r="18" spans="1:9" x14ac:dyDescent="0.3">
      <c r="A18" s="4" t="s">
        <v>15</v>
      </c>
      <c r="B18" s="4"/>
      <c r="C18" s="2">
        <f>IFERROR(VLOOKUP(A18,Urunler!A$2:E$201,2,FALSE),"")</f>
        <v>0</v>
      </c>
      <c r="D18" s="2">
        <f>IFERROR(VLOOKUP(A18,Urunler!A$2:E$201,3,FALSE),"")</f>
        <v>0</v>
      </c>
      <c r="E18" s="2" t="str">
        <f>IFERROR(VLOOKUP(A18,Urunler!A$2:E$201,4,FALSE),"")</f>
        <v/>
      </c>
      <c r="F18" s="2" t="str">
        <f t="shared" si="0"/>
        <v/>
      </c>
      <c r="G18" s="2" t="str">
        <f t="shared" si="1"/>
        <v/>
      </c>
      <c r="H18" s="2" t="str">
        <f t="shared" si="2"/>
        <v/>
      </c>
      <c r="I18" s="3" t="e">
        <f t="shared" si="3"/>
        <v>#VALUE!</v>
      </c>
    </row>
    <row r="19" spans="1:9" x14ac:dyDescent="0.3">
      <c r="A19" s="4" t="s">
        <v>15</v>
      </c>
      <c r="B19" s="4"/>
      <c r="C19" s="2">
        <f>IFERROR(VLOOKUP(A19,Urunler!A$2:E$201,2,FALSE),"")</f>
        <v>0</v>
      </c>
      <c r="D19" s="2">
        <f>IFERROR(VLOOKUP(A19,Urunler!A$2:E$201,3,FALSE),"")</f>
        <v>0</v>
      </c>
      <c r="E19" s="2" t="str">
        <f>IFERROR(VLOOKUP(A19,Urunler!A$2:E$201,4,FALSE),"")</f>
        <v/>
      </c>
      <c r="F19" s="2" t="str">
        <f t="shared" si="0"/>
        <v/>
      </c>
      <c r="G19" s="2" t="str">
        <f t="shared" si="1"/>
        <v/>
      </c>
      <c r="H19" s="2" t="str">
        <f t="shared" si="2"/>
        <v/>
      </c>
      <c r="I19" s="3" t="e">
        <f t="shared" si="3"/>
        <v>#VALUE!</v>
      </c>
    </row>
    <row r="20" spans="1:9" x14ac:dyDescent="0.3">
      <c r="A20" s="4"/>
      <c r="B20" s="4"/>
      <c r="C20" s="2" t="str">
        <f>IFERROR(VLOOKUP(A20,Urunler!A$2:E$201,2,FALSE),"")</f>
        <v/>
      </c>
      <c r="D20" s="2" t="str">
        <f>IFERROR(VLOOKUP(A20,Urunler!A$2:E$201,3,FALSE),"")</f>
        <v/>
      </c>
      <c r="E20" s="2" t="str">
        <f>IFERROR(VLOOKUP(A20,Urunler!A$2:E$201,4,FALSE),"")</f>
        <v/>
      </c>
      <c r="F20" s="2" t="str">
        <f t="shared" si="0"/>
        <v/>
      </c>
      <c r="G20" s="2" t="str">
        <f t="shared" si="1"/>
        <v/>
      </c>
      <c r="H20" s="2" t="str">
        <f t="shared" si="2"/>
        <v/>
      </c>
      <c r="I20" s="3" t="e">
        <f t="shared" si="3"/>
        <v>#VALUE!</v>
      </c>
    </row>
    <row r="21" spans="1:9" x14ac:dyDescent="0.3">
      <c r="A21" s="4" t="s">
        <v>15</v>
      </c>
      <c r="B21" s="4"/>
      <c r="C21" s="2">
        <f>IFERROR(VLOOKUP(A21,Urunler!A$2:E$201,2,FALSE),"")</f>
        <v>0</v>
      </c>
      <c r="D21" s="2">
        <f>IFERROR(VLOOKUP(A21,Urunler!A$2:E$201,3,FALSE),"")</f>
        <v>0</v>
      </c>
      <c r="E21" s="2" t="str">
        <f>IFERROR(VLOOKUP(A21,Urunler!A$2:E$201,4,FALSE),"")</f>
        <v/>
      </c>
      <c r="F21" s="2" t="str">
        <f t="shared" si="0"/>
        <v/>
      </c>
      <c r="G21" s="2" t="str">
        <f t="shared" si="1"/>
        <v/>
      </c>
      <c r="H21" s="2" t="str">
        <f t="shared" si="2"/>
        <v/>
      </c>
      <c r="I21" s="3" t="e">
        <f t="shared" si="3"/>
        <v>#VALUE!</v>
      </c>
    </row>
    <row r="22" spans="1:9" x14ac:dyDescent="0.3">
      <c r="A22" s="4" t="s">
        <v>15</v>
      </c>
      <c r="B22" s="4"/>
      <c r="C22" s="2">
        <f>IFERROR(VLOOKUP(A22,Urunler!A$2:E$201,2,FALSE),"")</f>
        <v>0</v>
      </c>
      <c r="D22" s="2">
        <f>IFERROR(VLOOKUP(A22,Urunler!A$2:E$201,3,FALSE),"")</f>
        <v>0</v>
      </c>
      <c r="E22" s="2" t="str">
        <f>IFERROR(VLOOKUP(A22,Urunler!A$2:E$201,4,FALSE),"")</f>
        <v/>
      </c>
      <c r="F22" s="2" t="str">
        <f t="shared" si="0"/>
        <v/>
      </c>
      <c r="G22" s="2" t="str">
        <f t="shared" si="1"/>
        <v/>
      </c>
      <c r="H22" s="2" t="str">
        <f t="shared" si="2"/>
        <v/>
      </c>
      <c r="I22" s="3" t="e">
        <f t="shared" si="3"/>
        <v>#VALUE!</v>
      </c>
    </row>
    <row r="23" spans="1:9" x14ac:dyDescent="0.3">
      <c r="A23" s="4" t="s">
        <v>15</v>
      </c>
      <c r="B23" s="4"/>
      <c r="C23" s="2">
        <f>IFERROR(VLOOKUP(A23,Urunler!A$2:E$201,2,FALSE),"")</f>
        <v>0</v>
      </c>
      <c r="D23" s="2">
        <f>IFERROR(VLOOKUP(A23,Urunler!A$2:E$201,3,FALSE),"")</f>
        <v>0</v>
      </c>
      <c r="E23" s="2" t="str">
        <f>IFERROR(VLOOKUP(A23,Urunler!A$2:E$201,4,FALSE),"")</f>
        <v/>
      </c>
      <c r="F23" s="2" t="str">
        <f t="shared" si="0"/>
        <v/>
      </c>
      <c r="G23" s="2" t="str">
        <f t="shared" si="1"/>
        <v/>
      </c>
      <c r="H23" s="2" t="str">
        <f t="shared" si="2"/>
        <v/>
      </c>
      <c r="I23" s="3" t="e">
        <f t="shared" si="3"/>
        <v>#VALUE!</v>
      </c>
    </row>
    <row r="24" spans="1:9" x14ac:dyDescent="0.3">
      <c r="A24" s="4" t="s">
        <v>15</v>
      </c>
      <c r="B24" s="4"/>
      <c r="C24" s="2">
        <f>IFERROR(VLOOKUP(A24,Urunler!A$2:E$201,2,FALSE),"")</f>
        <v>0</v>
      </c>
      <c r="D24" s="2">
        <f>IFERROR(VLOOKUP(A24,Urunler!A$2:E$201,3,FALSE),"")</f>
        <v>0</v>
      </c>
      <c r="E24" s="2" t="str">
        <f>IFERROR(VLOOKUP(A24,Urunler!A$2:E$201,4,FALSE),"")</f>
        <v/>
      </c>
      <c r="F24" s="2" t="str">
        <f t="shared" si="0"/>
        <v/>
      </c>
      <c r="G24" s="2" t="str">
        <f t="shared" si="1"/>
        <v/>
      </c>
      <c r="H24" s="2" t="str">
        <f t="shared" si="2"/>
        <v/>
      </c>
      <c r="I24" s="3" t="e">
        <f t="shared" si="3"/>
        <v>#VALUE!</v>
      </c>
    </row>
    <row r="25" spans="1:9" x14ac:dyDescent="0.3">
      <c r="A25" s="4" t="s">
        <v>15</v>
      </c>
      <c r="B25" s="4"/>
      <c r="C25" s="2">
        <f>IFERROR(VLOOKUP(A25,Urunler!A$2:E$201,2,FALSE),"")</f>
        <v>0</v>
      </c>
      <c r="D25" s="2">
        <f>IFERROR(VLOOKUP(A25,Urunler!A$2:E$201,3,FALSE),"")</f>
        <v>0</v>
      </c>
      <c r="E25" s="2" t="str">
        <f>IFERROR(VLOOKUP(A25,Urunler!A$2:E$201,4,FALSE),"")</f>
        <v/>
      </c>
      <c r="F25" s="2" t="str">
        <f t="shared" si="0"/>
        <v/>
      </c>
      <c r="G25" s="2" t="str">
        <f t="shared" si="1"/>
        <v/>
      </c>
      <c r="H25" s="2" t="str">
        <f t="shared" si="2"/>
        <v/>
      </c>
      <c r="I25" s="3" t="e">
        <f t="shared" si="3"/>
        <v>#VALUE!</v>
      </c>
    </row>
    <row r="26" spans="1:9" x14ac:dyDescent="0.3">
      <c r="A26" s="4" t="s">
        <v>15</v>
      </c>
      <c r="B26" s="4"/>
      <c r="C26" s="2">
        <f>IFERROR(VLOOKUP(A26,Urunler!A$2:E$201,2,FALSE),"")</f>
        <v>0</v>
      </c>
      <c r="D26" s="2">
        <f>IFERROR(VLOOKUP(A26,Urunler!A$2:E$201,3,FALSE),"")</f>
        <v>0</v>
      </c>
      <c r="E26" s="2" t="str">
        <f>IFERROR(VLOOKUP(A26,Urunler!A$2:E$201,4,FALSE),"")</f>
        <v/>
      </c>
      <c r="F26" s="2" t="str">
        <f t="shared" si="0"/>
        <v/>
      </c>
      <c r="G26" s="2" t="str">
        <f t="shared" si="1"/>
        <v/>
      </c>
      <c r="H26" s="2" t="str">
        <f t="shared" si="2"/>
        <v/>
      </c>
      <c r="I26" s="3" t="e">
        <f t="shared" si="3"/>
        <v>#VALUE!</v>
      </c>
    </row>
    <row r="27" spans="1:9" x14ac:dyDescent="0.3">
      <c r="A27" s="4" t="s">
        <v>15</v>
      </c>
      <c r="B27" s="4"/>
      <c r="C27" s="2">
        <f>IFERROR(VLOOKUP(A27,Urunler!A$2:E$201,2,FALSE),"")</f>
        <v>0</v>
      </c>
      <c r="D27" s="2">
        <f>IFERROR(VLOOKUP(A27,Urunler!A$2:E$201,3,FALSE),"")</f>
        <v>0</v>
      </c>
      <c r="E27" s="2" t="str">
        <f>IFERROR(VLOOKUP(A27,Urunler!A$2:E$201,4,FALSE),"")</f>
        <v/>
      </c>
      <c r="F27" s="2" t="str">
        <f t="shared" si="0"/>
        <v/>
      </c>
      <c r="G27" s="2" t="str">
        <f t="shared" si="1"/>
        <v/>
      </c>
      <c r="H27" s="2" t="str">
        <f t="shared" si="2"/>
        <v/>
      </c>
      <c r="I27" s="3" t="e">
        <f t="shared" si="3"/>
        <v>#VALUE!</v>
      </c>
    </row>
    <row r="28" spans="1:9" x14ac:dyDescent="0.3">
      <c r="A28" s="4" t="s">
        <v>15</v>
      </c>
      <c r="B28" s="4"/>
      <c r="C28" s="2">
        <f>IFERROR(VLOOKUP(A28,Urunler!A$2:E$201,2,FALSE),"")</f>
        <v>0</v>
      </c>
      <c r="D28" s="2">
        <f>IFERROR(VLOOKUP(A28,Urunler!A$2:E$201,3,FALSE),"")</f>
        <v>0</v>
      </c>
      <c r="E28" s="2" t="str">
        <f>IFERROR(VLOOKUP(A28,Urunler!A$2:E$201,4,FALSE),"")</f>
        <v/>
      </c>
      <c r="F28" s="2" t="str">
        <f t="shared" si="0"/>
        <v/>
      </c>
      <c r="G28" s="2" t="str">
        <f t="shared" si="1"/>
        <v/>
      </c>
      <c r="H28" s="2" t="str">
        <f t="shared" si="2"/>
        <v/>
      </c>
      <c r="I28" s="3" t="e">
        <f t="shared" si="3"/>
        <v>#VALUE!</v>
      </c>
    </row>
    <row r="29" spans="1:9" x14ac:dyDescent="0.3">
      <c r="A29" s="4" t="s">
        <v>15</v>
      </c>
      <c r="B29" s="4"/>
      <c r="C29" s="2">
        <f>IFERROR(VLOOKUP(A29,Urunler!A$2:E$201,2,FALSE),"")</f>
        <v>0</v>
      </c>
      <c r="D29" s="2">
        <f>IFERROR(VLOOKUP(A29,Urunler!A$2:E$201,3,FALSE),"")</f>
        <v>0</v>
      </c>
      <c r="E29" s="2" t="str">
        <f>IFERROR(VLOOKUP(A29,Urunler!A$2:E$201,4,FALSE),"")</f>
        <v/>
      </c>
      <c r="F29" s="2" t="str">
        <f t="shared" si="0"/>
        <v/>
      </c>
      <c r="G29" s="2" t="str">
        <f t="shared" si="1"/>
        <v/>
      </c>
      <c r="H29" s="2" t="str">
        <f t="shared" si="2"/>
        <v/>
      </c>
      <c r="I29" s="3" t="e">
        <f t="shared" si="3"/>
        <v>#VALUE!</v>
      </c>
    </row>
    <row r="30" spans="1:9" x14ac:dyDescent="0.3">
      <c r="A30" s="4" t="s">
        <v>15</v>
      </c>
      <c r="B30" s="4"/>
      <c r="C30" s="2">
        <f>IFERROR(VLOOKUP(A30,Urunler!A$2:E$201,2,FALSE),"")</f>
        <v>0</v>
      </c>
      <c r="D30" s="2">
        <f>IFERROR(VLOOKUP(A30,Urunler!A$2:E$201,3,FALSE),"")</f>
        <v>0</v>
      </c>
      <c r="E30" s="2" t="str">
        <f>IFERROR(VLOOKUP(A30,Urunler!A$2:E$201,4,FALSE),"")</f>
        <v/>
      </c>
      <c r="F30" s="2" t="str">
        <f t="shared" si="0"/>
        <v/>
      </c>
      <c r="G30" s="2" t="str">
        <f t="shared" si="1"/>
        <v/>
      </c>
      <c r="H30" s="2" t="str">
        <f t="shared" si="2"/>
        <v/>
      </c>
      <c r="I30" s="3" t="e">
        <f t="shared" si="3"/>
        <v>#VALUE!</v>
      </c>
    </row>
    <row r="31" spans="1:9" x14ac:dyDescent="0.3">
      <c r="A31" s="4" t="s">
        <v>15</v>
      </c>
      <c r="B31" s="4"/>
      <c r="C31" s="2">
        <f>IFERROR(VLOOKUP(A31,Urunler!A$2:E$201,2,FALSE),"")</f>
        <v>0</v>
      </c>
      <c r="D31" s="2">
        <f>IFERROR(VLOOKUP(A31,Urunler!A$2:E$201,3,FALSE),"")</f>
        <v>0</v>
      </c>
      <c r="E31" s="2" t="str">
        <f>IFERROR(VLOOKUP(A31,Urunler!A$2:E$201,4,FALSE),"")</f>
        <v/>
      </c>
      <c r="F31" s="2" t="str">
        <f t="shared" si="0"/>
        <v/>
      </c>
      <c r="G31" s="2" t="str">
        <f t="shared" si="1"/>
        <v/>
      </c>
      <c r="H31" s="2" t="str">
        <f t="shared" si="2"/>
        <v/>
      </c>
      <c r="I31" s="3" t="e">
        <f t="shared" si="3"/>
        <v>#VALUE!</v>
      </c>
    </row>
    <row r="32" spans="1:9" x14ac:dyDescent="0.3">
      <c r="A32" s="4" t="s">
        <v>15</v>
      </c>
      <c r="B32" s="4"/>
      <c r="C32" s="2">
        <f>IFERROR(VLOOKUP(A32,Urunler!A$2:E$201,2,FALSE),"")</f>
        <v>0</v>
      </c>
      <c r="D32" s="2">
        <f>IFERROR(VLOOKUP(A32,Urunler!A$2:E$201,3,FALSE),"")</f>
        <v>0</v>
      </c>
      <c r="E32" s="2" t="str">
        <f>IFERROR(VLOOKUP(A32,Urunler!A$2:E$201,4,FALSE),"")</f>
        <v/>
      </c>
      <c r="F32" s="2" t="str">
        <f t="shared" si="0"/>
        <v/>
      </c>
      <c r="G32" s="2" t="str">
        <f t="shared" si="1"/>
        <v/>
      </c>
      <c r="H32" s="2" t="str">
        <f t="shared" si="2"/>
        <v/>
      </c>
      <c r="I32" s="3" t="e">
        <f t="shared" si="3"/>
        <v>#VALUE!</v>
      </c>
    </row>
    <row r="33" spans="1:9" x14ac:dyDescent="0.3">
      <c r="A33" s="4" t="s">
        <v>15</v>
      </c>
      <c r="B33" s="4"/>
      <c r="C33" s="2">
        <f>IFERROR(VLOOKUP(A33,Urunler!A$2:E$201,2,FALSE),"")</f>
        <v>0</v>
      </c>
      <c r="D33" s="2">
        <f>IFERROR(VLOOKUP(A33,Urunler!A$2:E$201,3,FALSE),"")</f>
        <v>0</v>
      </c>
      <c r="E33" s="2" t="str">
        <f>IFERROR(VLOOKUP(A33,Urunler!A$2:E$201,4,FALSE),"")</f>
        <v/>
      </c>
      <c r="F33" s="2" t="str">
        <f t="shared" si="0"/>
        <v/>
      </c>
      <c r="G33" s="2" t="str">
        <f t="shared" si="1"/>
        <v/>
      </c>
      <c r="H33" s="2" t="str">
        <f t="shared" si="2"/>
        <v/>
      </c>
      <c r="I33" s="3" t="e">
        <f t="shared" si="3"/>
        <v>#VALUE!</v>
      </c>
    </row>
    <row r="34" spans="1:9" x14ac:dyDescent="0.3">
      <c r="A34" s="4" t="s">
        <v>15</v>
      </c>
      <c r="B34" s="4"/>
      <c r="C34" s="2">
        <f>IFERROR(VLOOKUP(A34,Urunler!A$2:E$201,2,FALSE),"")</f>
        <v>0</v>
      </c>
      <c r="D34" s="2">
        <f>IFERROR(VLOOKUP(A34,Urunler!A$2:E$201,3,FALSE),"")</f>
        <v>0</v>
      </c>
      <c r="E34" s="2" t="str">
        <f>IFERROR(VLOOKUP(A34,Urunler!A$2:E$201,4,FALSE),"")</f>
        <v/>
      </c>
      <c r="F34" s="2" t="str">
        <f t="shared" si="0"/>
        <v/>
      </c>
      <c r="G34" s="2" t="str">
        <f t="shared" si="1"/>
        <v/>
      </c>
      <c r="H34" s="2" t="str">
        <f t="shared" si="2"/>
        <v/>
      </c>
      <c r="I34" s="3" t="e">
        <f t="shared" si="3"/>
        <v>#VALUE!</v>
      </c>
    </row>
    <row r="35" spans="1:9" x14ac:dyDescent="0.3">
      <c r="A35" s="4" t="s">
        <v>15</v>
      </c>
      <c r="B35" s="4"/>
      <c r="C35" s="2">
        <f>IFERROR(VLOOKUP(A35,Urunler!A$2:E$201,2,FALSE),"")</f>
        <v>0</v>
      </c>
      <c r="D35" s="2">
        <f>IFERROR(VLOOKUP(A35,Urunler!A$2:E$201,3,FALSE),"")</f>
        <v>0</v>
      </c>
      <c r="E35" s="2" t="str">
        <f>IFERROR(VLOOKUP(A35,Urunler!A$2:E$201,4,FALSE),"")</f>
        <v/>
      </c>
      <c r="F35" s="2" t="str">
        <f t="shared" si="0"/>
        <v/>
      </c>
      <c r="G35" s="2" t="str">
        <f t="shared" si="1"/>
        <v/>
      </c>
      <c r="H35" s="2" t="str">
        <f t="shared" si="2"/>
        <v/>
      </c>
      <c r="I35" s="3" t="e">
        <f t="shared" si="3"/>
        <v>#VALUE!</v>
      </c>
    </row>
    <row r="36" spans="1:9" x14ac:dyDescent="0.3">
      <c r="A36" s="4" t="s">
        <v>15</v>
      </c>
      <c r="B36" s="4"/>
      <c r="C36" s="2">
        <f>IFERROR(VLOOKUP(A36,Urunler!A$2:E$201,2,FALSE),"")</f>
        <v>0</v>
      </c>
      <c r="D36" s="2">
        <f>IFERROR(VLOOKUP(A36,Urunler!A$2:E$201,3,FALSE),"")</f>
        <v>0</v>
      </c>
      <c r="E36" s="2" t="str">
        <f>IFERROR(VLOOKUP(A36,Urunler!A$2:E$201,4,FALSE),"")</f>
        <v/>
      </c>
      <c r="F36" s="2" t="str">
        <f t="shared" si="0"/>
        <v/>
      </c>
      <c r="G36" s="2" t="str">
        <f t="shared" si="1"/>
        <v/>
      </c>
      <c r="H36" s="2" t="str">
        <f t="shared" si="2"/>
        <v/>
      </c>
      <c r="I36" s="3" t="e">
        <f t="shared" si="3"/>
        <v>#VALUE!</v>
      </c>
    </row>
    <row r="37" spans="1:9" x14ac:dyDescent="0.3">
      <c r="A37" s="4" t="s">
        <v>15</v>
      </c>
      <c r="B37" s="4"/>
      <c r="C37" s="2">
        <f>IFERROR(VLOOKUP(A37,Urunler!A$2:E$201,2,FALSE),"")</f>
        <v>0</v>
      </c>
      <c r="D37" s="2">
        <f>IFERROR(VLOOKUP(A37,Urunler!A$2:E$201,3,FALSE),"")</f>
        <v>0</v>
      </c>
      <c r="E37" s="2" t="str">
        <f>IFERROR(VLOOKUP(A37,Urunler!A$2:E$201,4,FALSE),"")</f>
        <v/>
      </c>
      <c r="F37" s="2" t="str">
        <f t="shared" si="0"/>
        <v/>
      </c>
      <c r="G37" s="2" t="str">
        <f t="shared" si="1"/>
        <v/>
      </c>
      <c r="H37" s="2" t="str">
        <f t="shared" si="2"/>
        <v/>
      </c>
      <c r="I37" s="3" t="e">
        <f t="shared" si="3"/>
        <v>#VALUE!</v>
      </c>
    </row>
    <row r="38" spans="1:9" x14ac:dyDescent="0.3">
      <c r="A38" s="4" t="s">
        <v>15</v>
      </c>
      <c r="B38" s="4"/>
      <c r="C38" s="2">
        <f>IFERROR(VLOOKUP(A38,Urunler!A$2:E$201,2,FALSE),"")</f>
        <v>0</v>
      </c>
      <c r="D38" s="2">
        <f>IFERROR(VLOOKUP(A38,Urunler!A$2:E$201,3,FALSE),"")</f>
        <v>0</v>
      </c>
      <c r="E38" s="2" t="str">
        <f>IFERROR(VLOOKUP(A38,Urunler!A$2:E$201,4,FALSE),"")</f>
        <v/>
      </c>
      <c r="F38" s="2" t="str">
        <f t="shared" ref="F38:F69" si="4">IF(OR(B38="",C38=""),"",B38*C38)</f>
        <v/>
      </c>
      <c r="G38" s="2" t="str">
        <f t="shared" ref="G38:G69" si="5">IF(OR(B38="",D38=""),"",B38*D38)</f>
        <v/>
      </c>
      <c r="H38" s="2" t="str">
        <f t="shared" ref="H38:H69" si="6">IF(OR(B38="",E38=""),"",B38*E38)</f>
        <v/>
      </c>
      <c r="I38" s="3" t="e">
        <f t="shared" ref="I38:I69" si="7">IF(F38=0,"",H38/F38)</f>
        <v>#VALUE!</v>
      </c>
    </row>
    <row r="39" spans="1:9" x14ac:dyDescent="0.3">
      <c r="A39" s="4" t="s">
        <v>15</v>
      </c>
      <c r="B39" s="4"/>
      <c r="C39" s="2">
        <f>IFERROR(VLOOKUP(A39,Urunler!A$2:E$201,2,FALSE),"")</f>
        <v>0</v>
      </c>
      <c r="D39" s="2">
        <f>IFERROR(VLOOKUP(A39,Urunler!A$2:E$201,3,FALSE),"")</f>
        <v>0</v>
      </c>
      <c r="E39" s="2" t="str">
        <f>IFERROR(VLOOKUP(A39,Urunler!A$2:E$201,4,FALSE),"")</f>
        <v/>
      </c>
      <c r="F39" s="2" t="str">
        <f t="shared" si="4"/>
        <v/>
      </c>
      <c r="G39" s="2" t="str">
        <f t="shared" si="5"/>
        <v/>
      </c>
      <c r="H39" s="2" t="str">
        <f t="shared" si="6"/>
        <v/>
      </c>
      <c r="I39" s="3" t="e">
        <f t="shared" si="7"/>
        <v>#VALUE!</v>
      </c>
    </row>
    <row r="40" spans="1:9" x14ac:dyDescent="0.3">
      <c r="A40" s="4" t="s">
        <v>15</v>
      </c>
      <c r="B40" s="4"/>
      <c r="C40" s="2">
        <f>IFERROR(VLOOKUP(A40,Urunler!A$2:E$201,2,FALSE),"")</f>
        <v>0</v>
      </c>
      <c r="D40" s="2">
        <f>IFERROR(VLOOKUP(A40,Urunler!A$2:E$201,3,FALSE),"")</f>
        <v>0</v>
      </c>
      <c r="E40" s="2" t="str">
        <f>IFERROR(VLOOKUP(A40,Urunler!A$2:E$201,4,FALSE),"")</f>
        <v/>
      </c>
      <c r="F40" s="2" t="str">
        <f t="shared" si="4"/>
        <v/>
      </c>
      <c r="G40" s="2" t="str">
        <f t="shared" si="5"/>
        <v/>
      </c>
      <c r="H40" s="2" t="str">
        <f t="shared" si="6"/>
        <v/>
      </c>
      <c r="I40" s="3" t="e">
        <f t="shared" si="7"/>
        <v>#VALUE!</v>
      </c>
    </row>
    <row r="41" spans="1:9" x14ac:dyDescent="0.3">
      <c r="A41" s="4" t="s">
        <v>15</v>
      </c>
      <c r="B41" s="4"/>
      <c r="C41" s="2">
        <f>IFERROR(VLOOKUP(A41,Urunler!A$2:E$201,2,FALSE),"")</f>
        <v>0</v>
      </c>
      <c r="D41" s="2">
        <f>IFERROR(VLOOKUP(A41,Urunler!A$2:E$201,3,FALSE),"")</f>
        <v>0</v>
      </c>
      <c r="E41" s="2" t="str">
        <f>IFERROR(VLOOKUP(A41,Urunler!A$2:E$201,4,FALSE),"")</f>
        <v/>
      </c>
      <c r="F41" s="2" t="str">
        <f t="shared" si="4"/>
        <v/>
      </c>
      <c r="G41" s="2" t="str">
        <f t="shared" si="5"/>
        <v/>
      </c>
      <c r="H41" s="2" t="str">
        <f t="shared" si="6"/>
        <v/>
      </c>
      <c r="I41" s="3" t="e">
        <f t="shared" si="7"/>
        <v>#VALUE!</v>
      </c>
    </row>
    <row r="42" spans="1:9" x14ac:dyDescent="0.3">
      <c r="A42" s="4" t="s">
        <v>15</v>
      </c>
      <c r="B42" s="4"/>
      <c r="C42" s="2">
        <f>IFERROR(VLOOKUP(A42,Urunler!A$2:E$201,2,FALSE),"")</f>
        <v>0</v>
      </c>
      <c r="D42" s="2">
        <f>IFERROR(VLOOKUP(A42,Urunler!A$2:E$201,3,FALSE),"")</f>
        <v>0</v>
      </c>
      <c r="E42" s="2" t="str">
        <f>IFERROR(VLOOKUP(A42,Urunler!A$2:E$201,4,FALSE),"")</f>
        <v/>
      </c>
      <c r="F42" s="2" t="str">
        <f t="shared" si="4"/>
        <v/>
      </c>
      <c r="G42" s="2" t="str">
        <f t="shared" si="5"/>
        <v/>
      </c>
      <c r="H42" s="2" t="str">
        <f t="shared" si="6"/>
        <v/>
      </c>
      <c r="I42" s="3" t="e">
        <f t="shared" si="7"/>
        <v>#VALUE!</v>
      </c>
    </row>
    <row r="43" spans="1:9" x14ac:dyDescent="0.3">
      <c r="A43" s="4" t="s">
        <v>15</v>
      </c>
      <c r="B43" s="4"/>
      <c r="C43" s="2">
        <f>IFERROR(VLOOKUP(A43,Urunler!A$2:E$201,2,FALSE),"")</f>
        <v>0</v>
      </c>
      <c r="D43" s="2">
        <f>IFERROR(VLOOKUP(A43,Urunler!A$2:E$201,3,FALSE),"")</f>
        <v>0</v>
      </c>
      <c r="E43" s="2" t="str">
        <f>IFERROR(VLOOKUP(A43,Urunler!A$2:E$201,4,FALSE),"")</f>
        <v/>
      </c>
      <c r="F43" s="2" t="str">
        <f t="shared" si="4"/>
        <v/>
      </c>
      <c r="G43" s="2" t="str">
        <f t="shared" si="5"/>
        <v/>
      </c>
      <c r="H43" s="2" t="str">
        <f t="shared" si="6"/>
        <v/>
      </c>
      <c r="I43" s="3" t="e">
        <f t="shared" si="7"/>
        <v>#VALUE!</v>
      </c>
    </row>
    <row r="44" spans="1:9" x14ac:dyDescent="0.3">
      <c r="A44" s="4" t="s">
        <v>15</v>
      </c>
      <c r="B44" s="4"/>
      <c r="C44" s="2">
        <f>IFERROR(VLOOKUP(A44,Urunler!A$2:E$201,2,FALSE),"")</f>
        <v>0</v>
      </c>
      <c r="D44" s="2">
        <f>IFERROR(VLOOKUP(A44,Urunler!A$2:E$201,3,FALSE),"")</f>
        <v>0</v>
      </c>
      <c r="E44" s="2" t="str">
        <f>IFERROR(VLOOKUP(A44,Urunler!A$2:E$201,4,FALSE),"")</f>
        <v/>
      </c>
      <c r="F44" s="2" t="str">
        <f t="shared" si="4"/>
        <v/>
      </c>
      <c r="G44" s="2" t="str">
        <f t="shared" si="5"/>
        <v/>
      </c>
      <c r="H44" s="2" t="str">
        <f t="shared" si="6"/>
        <v/>
      </c>
      <c r="I44" s="3" t="e">
        <f t="shared" si="7"/>
        <v>#VALUE!</v>
      </c>
    </row>
    <row r="45" spans="1:9" x14ac:dyDescent="0.3">
      <c r="A45" s="4" t="s">
        <v>15</v>
      </c>
      <c r="B45" s="4"/>
      <c r="C45" s="2">
        <f>IFERROR(VLOOKUP(A45,Urunler!A$2:E$201,2,FALSE),"")</f>
        <v>0</v>
      </c>
      <c r="D45" s="2">
        <f>IFERROR(VLOOKUP(A45,Urunler!A$2:E$201,3,FALSE),"")</f>
        <v>0</v>
      </c>
      <c r="E45" s="2" t="str">
        <f>IFERROR(VLOOKUP(A45,Urunler!A$2:E$201,4,FALSE),"")</f>
        <v/>
      </c>
      <c r="F45" s="2" t="str">
        <f t="shared" si="4"/>
        <v/>
      </c>
      <c r="G45" s="2" t="str">
        <f t="shared" si="5"/>
        <v/>
      </c>
      <c r="H45" s="2" t="str">
        <f t="shared" si="6"/>
        <v/>
      </c>
      <c r="I45" s="3" t="e">
        <f t="shared" si="7"/>
        <v>#VALUE!</v>
      </c>
    </row>
    <row r="46" spans="1:9" x14ac:dyDescent="0.3">
      <c r="A46" s="4" t="s">
        <v>15</v>
      </c>
      <c r="B46" s="4"/>
      <c r="C46" s="2">
        <f>IFERROR(VLOOKUP(A46,Urunler!A$2:E$201,2,FALSE),"")</f>
        <v>0</v>
      </c>
      <c r="D46" s="2">
        <f>IFERROR(VLOOKUP(A46,Urunler!A$2:E$201,3,FALSE),"")</f>
        <v>0</v>
      </c>
      <c r="E46" s="2" t="str">
        <f>IFERROR(VLOOKUP(A46,Urunler!A$2:E$201,4,FALSE),"")</f>
        <v/>
      </c>
      <c r="F46" s="2" t="str">
        <f t="shared" si="4"/>
        <v/>
      </c>
      <c r="G46" s="2" t="str">
        <f t="shared" si="5"/>
        <v/>
      </c>
      <c r="H46" s="2" t="str">
        <f t="shared" si="6"/>
        <v/>
      </c>
      <c r="I46" s="3" t="e">
        <f t="shared" si="7"/>
        <v>#VALUE!</v>
      </c>
    </row>
    <row r="47" spans="1:9" x14ac:dyDescent="0.3">
      <c r="A47" s="4" t="s">
        <v>15</v>
      </c>
      <c r="B47" s="4"/>
      <c r="C47" s="2">
        <f>IFERROR(VLOOKUP(A47,Urunler!A$2:E$201,2,FALSE),"")</f>
        <v>0</v>
      </c>
      <c r="D47" s="2">
        <f>IFERROR(VLOOKUP(A47,Urunler!A$2:E$201,3,FALSE),"")</f>
        <v>0</v>
      </c>
      <c r="E47" s="2" t="str">
        <f>IFERROR(VLOOKUP(A47,Urunler!A$2:E$201,4,FALSE),"")</f>
        <v/>
      </c>
      <c r="F47" s="2" t="str">
        <f t="shared" si="4"/>
        <v/>
      </c>
      <c r="G47" s="2" t="str">
        <f t="shared" si="5"/>
        <v/>
      </c>
      <c r="H47" s="2" t="str">
        <f t="shared" si="6"/>
        <v/>
      </c>
      <c r="I47" s="3" t="e">
        <f t="shared" si="7"/>
        <v>#VALUE!</v>
      </c>
    </row>
    <row r="48" spans="1:9" x14ac:dyDescent="0.3">
      <c r="A48" s="4" t="s">
        <v>15</v>
      </c>
      <c r="B48" s="4"/>
      <c r="C48" s="2">
        <f>IFERROR(VLOOKUP(A48,Urunler!A$2:E$201,2,FALSE),"")</f>
        <v>0</v>
      </c>
      <c r="D48" s="2">
        <f>IFERROR(VLOOKUP(A48,Urunler!A$2:E$201,3,FALSE),"")</f>
        <v>0</v>
      </c>
      <c r="E48" s="2" t="str">
        <f>IFERROR(VLOOKUP(A48,Urunler!A$2:E$201,4,FALSE),"")</f>
        <v/>
      </c>
      <c r="F48" s="2" t="str">
        <f t="shared" si="4"/>
        <v/>
      </c>
      <c r="G48" s="2" t="str">
        <f t="shared" si="5"/>
        <v/>
      </c>
      <c r="H48" s="2" t="str">
        <f t="shared" si="6"/>
        <v/>
      </c>
      <c r="I48" s="3" t="e">
        <f t="shared" si="7"/>
        <v>#VALUE!</v>
      </c>
    </row>
    <row r="49" spans="1:9" x14ac:dyDescent="0.3">
      <c r="A49" s="4" t="s">
        <v>15</v>
      </c>
      <c r="B49" s="4"/>
      <c r="C49" s="2">
        <f>IFERROR(VLOOKUP(A49,Urunler!A$2:E$201,2,FALSE),"")</f>
        <v>0</v>
      </c>
      <c r="D49" s="2">
        <f>IFERROR(VLOOKUP(A49,Urunler!A$2:E$201,3,FALSE),"")</f>
        <v>0</v>
      </c>
      <c r="E49" s="2" t="str">
        <f>IFERROR(VLOOKUP(A49,Urunler!A$2:E$201,4,FALSE),"")</f>
        <v/>
      </c>
      <c r="F49" s="2" t="str">
        <f t="shared" si="4"/>
        <v/>
      </c>
      <c r="G49" s="2" t="str">
        <f t="shared" si="5"/>
        <v/>
      </c>
      <c r="H49" s="2" t="str">
        <f t="shared" si="6"/>
        <v/>
      </c>
      <c r="I49" s="3" t="e">
        <f t="shared" si="7"/>
        <v>#VALUE!</v>
      </c>
    </row>
    <row r="50" spans="1:9" x14ac:dyDescent="0.3">
      <c r="A50" s="4" t="s">
        <v>15</v>
      </c>
      <c r="B50" s="4"/>
      <c r="C50" s="2">
        <f>IFERROR(VLOOKUP(A50,Urunler!A$2:E$201,2,FALSE),"")</f>
        <v>0</v>
      </c>
      <c r="D50" s="2">
        <f>IFERROR(VLOOKUP(A50,Urunler!A$2:E$201,3,FALSE),"")</f>
        <v>0</v>
      </c>
      <c r="E50" s="2" t="str">
        <f>IFERROR(VLOOKUP(A50,Urunler!A$2:E$201,4,FALSE),"")</f>
        <v/>
      </c>
      <c r="F50" s="2" t="str">
        <f t="shared" si="4"/>
        <v/>
      </c>
      <c r="G50" s="2" t="str">
        <f t="shared" si="5"/>
        <v/>
      </c>
      <c r="H50" s="2" t="str">
        <f t="shared" si="6"/>
        <v/>
      </c>
      <c r="I50" s="3" t="e">
        <f t="shared" si="7"/>
        <v>#VALUE!</v>
      </c>
    </row>
    <row r="51" spans="1:9" x14ac:dyDescent="0.3">
      <c r="A51" s="4" t="s">
        <v>15</v>
      </c>
      <c r="B51" s="4"/>
      <c r="C51" s="2">
        <f>IFERROR(VLOOKUP(A51,Urunler!A$2:E$201,2,FALSE),"")</f>
        <v>0</v>
      </c>
      <c r="D51" s="2">
        <f>IFERROR(VLOOKUP(A51,Urunler!A$2:E$201,3,FALSE),"")</f>
        <v>0</v>
      </c>
      <c r="E51" s="2" t="str">
        <f>IFERROR(VLOOKUP(A51,Urunler!A$2:E$201,4,FALSE),"")</f>
        <v/>
      </c>
      <c r="F51" s="2" t="str">
        <f t="shared" si="4"/>
        <v/>
      </c>
      <c r="G51" s="2" t="str">
        <f t="shared" si="5"/>
        <v/>
      </c>
      <c r="H51" s="2" t="str">
        <f t="shared" si="6"/>
        <v/>
      </c>
      <c r="I51" s="3" t="e">
        <f t="shared" si="7"/>
        <v>#VALUE!</v>
      </c>
    </row>
    <row r="52" spans="1:9" x14ac:dyDescent="0.3">
      <c r="A52" s="4" t="s">
        <v>15</v>
      </c>
      <c r="B52" s="4"/>
      <c r="C52" s="2">
        <f>IFERROR(VLOOKUP(A52,Urunler!A$2:E$201,2,FALSE),"")</f>
        <v>0</v>
      </c>
      <c r="D52" s="2">
        <f>IFERROR(VLOOKUP(A52,Urunler!A$2:E$201,3,FALSE),"")</f>
        <v>0</v>
      </c>
      <c r="E52" s="2" t="str">
        <f>IFERROR(VLOOKUP(A52,Urunler!A$2:E$201,4,FALSE),"")</f>
        <v/>
      </c>
      <c r="F52" s="2" t="str">
        <f t="shared" si="4"/>
        <v/>
      </c>
      <c r="G52" s="2" t="str">
        <f t="shared" si="5"/>
        <v/>
      </c>
      <c r="H52" s="2" t="str">
        <f t="shared" si="6"/>
        <v/>
      </c>
      <c r="I52" s="3" t="e">
        <f t="shared" si="7"/>
        <v>#VALUE!</v>
      </c>
    </row>
    <row r="53" spans="1:9" x14ac:dyDescent="0.3">
      <c r="A53" s="4" t="s">
        <v>15</v>
      </c>
      <c r="B53" s="4"/>
      <c r="C53" s="2">
        <f>IFERROR(VLOOKUP(A53,Urunler!A$2:E$201,2,FALSE),"")</f>
        <v>0</v>
      </c>
      <c r="D53" s="2">
        <f>IFERROR(VLOOKUP(A53,Urunler!A$2:E$201,3,FALSE),"")</f>
        <v>0</v>
      </c>
      <c r="E53" s="2" t="str">
        <f>IFERROR(VLOOKUP(A53,Urunler!A$2:E$201,4,FALSE),"")</f>
        <v/>
      </c>
      <c r="F53" s="2" t="str">
        <f t="shared" si="4"/>
        <v/>
      </c>
      <c r="G53" s="2" t="str">
        <f t="shared" si="5"/>
        <v/>
      </c>
      <c r="H53" s="2" t="str">
        <f t="shared" si="6"/>
        <v/>
      </c>
      <c r="I53" s="3" t="e">
        <f t="shared" si="7"/>
        <v>#VALUE!</v>
      </c>
    </row>
    <row r="54" spans="1:9" x14ac:dyDescent="0.3">
      <c r="A54" s="4" t="s">
        <v>15</v>
      </c>
      <c r="B54" s="4"/>
      <c r="C54" s="2">
        <f>IFERROR(VLOOKUP(A54,Urunler!A$2:E$201,2,FALSE),"")</f>
        <v>0</v>
      </c>
      <c r="D54" s="2">
        <f>IFERROR(VLOOKUP(A54,Urunler!A$2:E$201,3,FALSE),"")</f>
        <v>0</v>
      </c>
      <c r="E54" s="2" t="str">
        <f>IFERROR(VLOOKUP(A54,Urunler!A$2:E$201,4,FALSE),"")</f>
        <v/>
      </c>
      <c r="F54" s="2" t="str">
        <f t="shared" si="4"/>
        <v/>
      </c>
      <c r="G54" s="2" t="str">
        <f t="shared" si="5"/>
        <v/>
      </c>
      <c r="H54" s="2" t="str">
        <f t="shared" si="6"/>
        <v/>
      </c>
      <c r="I54" s="3" t="e">
        <f t="shared" si="7"/>
        <v>#VALUE!</v>
      </c>
    </row>
    <row r="55" spans="1:9" x14ac:dyDescent="0.3">
      <c r="A55" s="4" t="s">
        <v>15</v>
      </c>
      <c r="B55" s="4"/>
      <c r="C55" s="2">
        <f>IFERROR(VLOOKUP(A55,Urunler!A$2:E$201,2,FALSE),"")</f>
        <v>0</v>
      </c>
      <c r="D55" s="2">
        <f>IFERROR(VLOOKUP(A55,Urunler!A$2:E$201,3,FALSE),"")</f>
        <v>0</v>
      </c>
      <c r="E55" s="2" t="str">
        <f>IFERROR(VLOOKUP(A55,Urunler!A$2:E$201,4,FALSE),"")</f>
        <v/>
      </c>
      <c r="F55" s="2" t="str">
        <f t="shared" si="4"/>
        <v/>
      </c>
      <c r="G55" s="2" t="str">
        <f t="shared" si="5"/>
        <v/>
      </c>
      <c r="H55" s="2" t="str">
        <f t="shared" si="6"/>
        <v/>
      </c>
      <c r="I55" s="3" t="e">
        <f t="shared" si="7"/>
        <v>#VALUE!</v>
      </c>
    </row>
    <row r="56" spans="1:9" x14ac:dyDescent="0.3">
      <c r="A56" s="4" t="s">
        <v>15</v>
      </c>
      <c r="B56" s="4"/>
      <c r="C56" s="2">
        <f>IFERROR(VLOOKUP(A56,Urunler!A$2:E$201,2,FALSE),"")</f>
        <v>0</v>
      </c>
      <c r="D56" s="2">
        <f>IFERROR(VLOOKUP(A56,Urunler!A$2:E$201,3,FALSE),"")</f>
        <v>0</v>
      </c>
      <c r="E56" s="2" t="str">
        <f>IFERROR(VLOOKUP(A56,Urunler!A$2:E$201,4,FALSE),"")</f>
        <v/>
      </c>
      <c r="F56" s="2" t="str">
        <f t="shared" si="4"/>
        <v/>
      </c>
      <c r="G56" s="2" t="str">
        <f t="shared" si="5"/>
        <v/>
      </c>
      <c r="H56" s="2" t="str">
        <f t="shared" si="6"/>
        <v/>
      </c>
      <c r="I56" s="3" t="e">
        <f t="shared" si="7"/>
        <v>#VALUE!</v>
      </c>
    </row>
    <row r="57" spans="1:9" x14ac:dyDescent="0.3">
      <c r="A57" s="4" t="s">
        <v>15</v>
      </c>
      <c r="B57" s="4"/>
      <c r="C57" s="2">
        <f>IFERROR(VLOOKUP(A57,Urunler!A$2:E$201,2,FALSE),"")</f>
        <v>0</v>
      </c>
      <c r="D57" s="2">
        <f>IFERROR(VLOOKUP(A57,Urunler!A$2:E$201,3,FALSE),"")</f>
        <v>0</v>
      </c>
      <c r="E57" s="2" t="str">
        <f>IFERROR(VLOOKUP(A57,Urunler!A$2:E$201,4,FALSE),"")</f>
        <v/>
      </c>
      <c r="F57" s="2" t="str">
        <f t="shared" si="4"/>
        <v/>
      </c>
      <c r="G57" s="2" t="str">
        <f t="shared" si="5"/>
        <v/>
      </c>
      <c r="H57" s="2" t="str">
        <f t="shared" si="6"/>
        <v/>
      </c>
      <c r="I57" s="3" t="e">
        <f t="shared" si="7"/>
        <v>#VALUE!</v>
      </c>
    </row>
    <row r="58" spans="1:9" x14ac:dyDescent="0.3">
      <c r="A58" s="4" t="s">
        <v>15</v>
      </c>
      <c r="B58" s="4"/>
      <c r="C58" s="2">
        <f>IFERROR(VLOOKUP(A58,Urunler!A$2:E$201,2,FALSE),"")</f>
        <v>0</v>
      </c>
      <c r="D58" s="2">
        <f>IFERROR(VLOOKUP(A58,Urunler!A$2:E$201,3,FALSE),"")</f>
        <v>0</v>
      </c>
      <c r="E58" s="2" t="str">
        <f>IFERROR(VLOOKUP(A58,Urunler!A$2:E$201,4,FALSE),"")</f>
        <v/>
      </c>
      <c r="F58" s="2" t="str">
        <f t="shared" si="4"/>
        <v/>
      </c>
      <c r="G58" s="2" t="str">
        <f t="shared" si="5"/>
        <v/>
      </c>
      <c r="H58" s="2" t="str">
        <f t="shared" si="6"/>
        <v/>
      </c>
      <c r="I58" s="3" t="e">
        <f t="shared" si="7"/>
        <v>#VALUE!</v>
      </c>
    </row>
    <row r="59" spans="1:9" x14ac:dyDescent="0.3">
      <c r="A59" s="4" t="s">
        <v>15</v>
      </c>
      <c r="B59" s="4"/>
      <c r="C59" s="2">
        <f>IFERROR(VLOOKUP(A59,Urunler!A$2:E$201,2,FALSE),"")</f>
        <v>0</v>
      </c>
      <c r="D59" s="2">
        <f>IFERROR(VLOOKUP(A59,Urunler!A$2:E$201,3,FALSE),"")</f>
        <v>0</v>
      </c>
      <c r="E59" s="2" t="str">
        <f>IFERROR(VLOOKUP(A59,Urunler!A$2:E$201,4,FALSE),"")</f>
        <v/>
      </c>
      <c r="F59" s="2" t="str">
        <f t="shared" si="4"/>
        <v/>
      </c>
      <c r="G59" s="2" t="str">
        <f t="shared" si="5"/>
        <v/>
      </c>
      <c r="H59" s="2" t="str">
        <f t="shared" si="6"/>
        <v/>
      </c>
      <c r="I59" s="3" t="e">
        <f t="shared" si="7"/>
        <v>#VALUE!</v>
      </c>
    </row>
    <row r="60" spans="1:9" x14ac:dyDescent="0.3">
      <c r="A60" s="4" t="s">
        <v>15</v>
      </c>
      <c r="B60" s="4"/>
      <c r="C60" s="2">
        <f>IFERROR(VLOOKUP(A60,Urunler!A$2:E$201,2,FALSE),"")</f>
        <v>0</v>
      </c>
      <c r="D60" s="2">
        <f>IFERROR(VLOOKUP(A60,Urunler!A$2:E$201,3,FALSE),"")</f>
        <v>0</v>
      </c>
      <c r="E60" s="2" t="str">
        <f>IFERROR(VLOOKUP(A60,Urunler!A$2:E$201,4,FALSE),"")</f>
        <v/>
      </c>
      <c r="F60" s="2" t="str">
        <f t="shared" si="4"/>
        <v/>
      </c>
      <c r="G60" s="2" t="str">
        <f t="shared" si="5"/>
        <v/>
      </c>
      <c r="H60" s="2" t="str">
        <f t="shared" si="6"/>
        <v/>
      </c>
      <c r="I60" s="3" t="e">
        <f t="shared" si="7"/>
        <v>#VALUE!</v>
      </c>
    </row>
    <row r="61" spans="1:9" x14ac:dyDescent="0.3">
      <c r="A61" s="4" t="s">
        <v>15</v>
      </c>
      <c r="B61" s="4"/>
      <c r="C61" s="2">
        <f>IFERROR(VLOOKUP(A61,Urunler!A$2:E$201,2,FALSE),"")</f>
        <v>0</v>
      </c>
      <c r="D61" s="2">
        <f>IFERROR(VLOOKUP(A61,Urunler!A$2:E$201,3,FALSE),"")</f>
        <v>0</v>
      </c>
      <c r="E61" s="2" t="str">
        <f>IFERROR(VLOOKUP(A61,Urunler!A$2:E$201,4,FALSE),"")</f>
        <v/>
      </c>
      <c r="F61" s="2" t="str">
        <f t="shared" si="4"/>
        <v/>
      </c>
      <c r="G61" s="2" t="str">
        <f t="shared" si="5"/>
        <v/>
      </c>
      <c r="H61" s="2" t="str">
        <f t="shared" si="6"/>
        <v/>
      </c>
      <c r="I61" s="3" t="e">
        <f t="shared" si="7"/>
        <v>#VALUE!</v>
      </c>
    </row>
    <row r="62" spans="1:9" x14ac:dyDescent="0.3">
      <c r="A62" s="4" t="s">
        <v>15</v>
      </c>
      <c r="B62" s="4"/>
      <c r="C62" s="2">
        <f>IFERROR(VLOOKUP(A62,Urunler!A$2:E$201,2,FALSE),"")</f>
        <v>0</v>
      </c>
      <c r="D62" s="2">
        <f>IFERROR(VLOOKUP(A62,Urunler!A$2:E$201,3,FALSE),"")</f>
        <v>0</v>
      </c>
      <c r="E62" s="2" t="str">
        <f>IFERROR(VLOOKUP(A62,Urunler!A$2:E$201,4,FALSE),"")</f>
        <v/>
      </c>
      <c r="F62" s="2" t="str">
        <f t="shared" si="4"/>
        <v/>
      </c>
      <c r="G62" s="2" t="str">
        <f t="shared" si="5"/>
        <v/>
      </c>
      <c r="H62" s="2" t="str">
        <f t="shared" si="6"/>
        <v/>
      </c>
      <c r="I62" s="3" t="e">
        <f t="shared" si="7"/>
        <v>#VALUE!</v>
      </c>
    </row>
    <row r="63" spans="1:9" x14ac:dyDescent="0.3">
      <c r="A63" s="4" t="s">
        <v>15</v>
      </c>
      <c r="B63" s="4"/>
      <c r="C63" s="2">
        <f>IFERROR(VLOOKUP(A63,Urunler!A$2:E$201,2,FALSE),"")</f>
        <v>0</v>
      </c>
      <c r="D63" s="2">
        <f>IFERROR(VLOOKUP(A63,Urunler!A$2:E$201,3,FALSE),"")</f>
        <v>0</v>
      </c>
      <c r="E63" s="2" t="str">
        <f>IFERROR(VLOOKUP(A63,Urunler!A$2:E$201,4,FALSE),"")</f>
        <v/>
      </c>
      <c r="F63" s="2" t="str">
        <f t="shared" si="4"/>
        <v/>
      </c>
      <c r="G63" s="2" t="str">
        <f t="shared" si="5"/>
        <v/>
      </c>
      <c r="H63" s="2" t="str">
        <f t="shared" si="6"/>
        <v/>
      </c>
      <c r="I63" s="3" t="e">
        <f t="shared" si="7"/>
        <v>#VALUE!</v>
      </c>
    </row>
    <row r="64" spans="1:9" x14ac:dyDescent="0.3">
      <c r="A64" s="4" t="s">
        <v>15</v>
      </c>
      <c r="B64" s="4"/>
      <c r="C64" s="2">
        <f>IFERROR(VLOOKUP(A64,Urunler!A$2:E$201,2,FALSE),"")</f>
        <v>0</v>
      </c>
      <c r="D64" s="2">
        <f>IFERROR(VLOOKUP(A64,Urunler!A$2:E$201,3,FALSE),"")</f>
        <v>0</v>
      </c>
      <c r="E64" s="2" t="str">
        <f>IFERROR(VLOOKUP(A64,Urunler!A$2:E$201,4,FALSE),"")</f>
        <v/>
      </c>
      <c r="F64" s="2" t="str">
        <f t="shared" si="4"/>
        <v/>
      </c>
      <c r="G64" s="2" t="str">
        <f t="shared" si="5"/>
        <v/>
      </c>
      <c r="H64" s="2" t="str">
        <f t="shared" si="6"/>
        <v/>
      </c>
      <c r="I64" s="3" t="e">
        <f t="shared" si="7"/>
        <v>#VALUE!</v>
      </c>
    </row>
    <row r="65" spans="1:9" x14ac:dyDescent="0.3">
      <c r="A65" s="4" t="s">
        <v>15</v>
      </c>
      <c r="B65" s="4"/>
      <c r="C65" s="2">
        <f>IFERROR(VLOOKUP(A65,Urunler!A$2:E$201,2,FALSE),"")</f>
        <v>0</v>
      </c>
      <c r="D65" s="2">
        <f>IFERROR(VLOOKUP(A65,Urunler!A$2:E$201,3,FALSE),"")</f>
        <v>0</v>
      </c>
      <c r="E65" s="2" t="str">
        <f>IFERROR(VLOOKUP(A65,Urunler!A$2:E$201,4,FALSE),"")</f>
        <v/>
      </c>
      <c r="F65" s="2" t="str">
        <f t="shared" si="4"/>
        <v/>
      </c>
      <c r="G65" s="2" t="str">
        <f t="shared" si="5"/>
        <v/>
      </c>
      <c r="H65" s="2" t="str">
        <f t="shared" si="6"/>
        <v/>
      </c>
      <c r="I65" s="3" t="e">
        <f t="shared" si="7"/>
        <v>#VALUE!</v>
      </c>
    </row>
    <row r="66" spans="1:9" x14ac:dyDescent="0.3">
      <c r="A66" s="4" t="s">
        <v>15</v>
      </c>
      <c r="B66" s="4"/>
      <c r="C66" s="2">
        <f>IFERROR(VLOOKUP(A66,Urunler!A$2:E$201,2,FALSE),"")</f>
        <v>0</v>
      </c>
      <c r="D66" s="2">
        <f>IFERROR(VLOOKUP(A66,Urunler!A$2:E$201,3,FALSE),"")</f>
        <v>0</v>
      </c>
      <c r="E66" s="2" t="str">
        <f>IFERROR(VLOOKUP(A66,Urunler!A$2:E$201,4,FALSE),"")</f>
        <v/>
      </c>
      <c r="F66" s="2" t="str">
        <f t="shared" si="4"/>
        <v/>
      </c>
      <c r="G66" s="2" t="str">
        <f t="shared" si="5"/>
        <v/>
      </c>
      <c r="H66" s="2" t="str">
        <f t="shared" si="6"/>
        <v/>
      </c>
      <c r="I66" s="3" t="e">
        <f t="shared" si="7"/>
        <v>#VALUE!</v>
      </c>
    </row>
    <row r="67" spans="1:9" x14ac:dyDescent="0.3">
      <c r="A67" s="4" t="s">
        <v>15</v>
      </c>
      <c r="B67" s="4"/>
      <c r="C67" s="2">
        <f>IFERROR(VLOOKUP(A67,Urunler!A$2:E$201,2,FALSE),"")</f>
        <v>0</v>
      </c>
      <c r="D67" s="2">
        <f>IFERROR(VLOOKUP(A67,Urunler!A$2:E$201,3,FALSE),"")</f>
        <v>0</v>
      </c>
      <c r="E67" s="2" t="str">
        <f>IFERROR(VLOOKUP(A67,Urunler!A$2:E$201,4,FALSE),"")</f>
        <v/>
      </c>
      <c r="F67" s="2" t="str">
        <f t="shared" si="4"/>
        <v/>
      </c>
      <c r="G67" s="2" t="str">
        <f t="shared" si="5"/>
        <v/>
      </c>
      <c r="H67" s="2" t="str">
        <f t="shared" si="6"/>
        <v/>
      </c>
      <c r="I67" s="3" t="e">
        <f t="shared" si="7"/>
        <v>#VALUE!</v>
      </c>
    </row>
    <row r="68" spans="1:9" x14ac:dyDescent="0.3">
      <c r="A68" s="4" t="s">
        <v>15</v>
      </c>
      <c r="B68" s="4"/>
      <c r="C68" s="2">
        <f>IFERROR(VLOOKUP(A68,Urunler!A$2:E$201,2,FALSE),"")</f>
        <v>0</v>
      </c>
      <c r="D68" s="2">
        <f>IFERROR(VLOOKUP(A68,Urunler!A$2:E$201,3,FALSE),"")</f>
        <v>0</v>
      </c>
      <c r="E68" s="2" t="str">
        <f>IFERROR(VLOOKUP(A68,Urunler!A$2:E$201,4,FALSE),"")</f>
        <v/>
      </c>
      <c r="F68" s="2" t="str">
        <f t="shared" si="4"/>
        <v/>
      </c>
      <c r="G68" s="2" t="str">
        <f t="shared" si="5"/>
        <v/>
      </c>
      <c r="H68" s="2" t="str">
        <f t="shared" si="6"/>
        <v/>
      </c>
      <c r="I68" s="3" t="e">
        <f t="shared" si="7"/>
        <v>#VALUE!</v>
      </c>
    </row>
    <row r="69" spans="1:9" x14ac:dyDescent="0.3">
      <c r="A69" s="4" t="s">
        <v>15</v>
      </c>
      <c r="B69" s="4"/>
      <c r="C69" s="2">
        <f>IFERROR(VLOOKUP(A69,Urunler!A$2:E$201,2,FALSE),"")</f>
        <v>0</v>
      </c>
      <c r="D69" s="2">
        <f>IFERROR(VLOOKUP(A69,Urunler!A$2:E$201,3,FALSE),"")</f>
        <v>0</v>
      </c>
      <c r="E69" s="2" t="str">
        <f>IFERROR(VLOOKUP(A69,Urunler!A$2:E$201,4,FALSE),"")</f>
        <v/>
      </c>
      <c r="F69" s="2" t="str">
        <f t="shared" si="4"/>
        <v/>
      </c>
      <c r="G69" s="2" t="str">
        <f t="shared" si="5"/>
        <v/>
      </c>
      <c r="H69" s="2" t="str">
        <f t="shared" si="6"/>
        <v/>
      </c>
      <c r="I69" s="3" t="e">
        <f t="shared" si="7"/>
        <v>#VALUE!</v>
      </c>
    </row>
    <row r="70" spans="1:9" x14ac:dyDescent="0.3">
      <c r="A70" s="4" t="s">
        <v>15</v>
      </c>
      <c r="B70" s="4"/>
      <c r="C70" s="2">
        <f>IFERROR(VLOOKUP(A70,Urunler!A$2:E$201,2,FALSE),"")</f>
        <v>0</v>
      </c>
      <c r="D70" s="2">
        <f>IFERROR(VLOOKUP(A70,Urunler!A$2:E$201,3,FALSE),"")</f>
        <v>0</v>
      </c>
      <c r="E70" s="2" t="str">
        <f>IFERROR(VLOOKUP(A70,Urunler!A$2:E$201,4,FALSE),"")</f>
        <v/>
      </c>
      <c r="F70" s="2" t="str">
        <f t="shared" ref="F70:F101" si="8">IF(OR(B70="",C70=""),"",B70*C70)</f>
        <v/>
      </c>
      <c r="G70" s="2" t="str">
        <f t="shared" ref="G70:G101" si="9">IF(OR(B70="",D70=""),"",B70*D70)</f>
        <v/>
      </c>
      <c r="H70" s="2" t="str">
        <f t="shared" ref="H70:H101" si="10">IF(OR(B70="",E70=""),"",B70*E70)</f>
        <v/>
      </c>
      <c r="I70" s="3" t="e">
        <f t="shared" ref="I70:I101" si="11">IF(F70=0,"",H70/F70)</f>
        <v>#VALUE!</v>
      </c>
    </row>
    <row r="71" spans="1:9" x14ac:dyDescent="0.3">
      <c r="A71" s="4" t="s">
        <v>15</v>
      </c>
      <c r="B71" s="4"/>
      <c r="C71" s="2">
        <f>IFERROR(VLOOKUP(A71,Urunler!A$2:E$201,2,FALSE),"")</f>
        <v>0</v>
      </c>
      <c r="D71" s="2">
        <f>IFERROR(VLOOKUP(A71,Urunler!A$2:E$201,3,FALSE),"")</f>
        <v>0</v>
      </c>
      <c r="E71" s="2" t="str">
        <f>IFERROR(VLOOKUP(A71,Urunler!A$2:E$201,4,FALSE),"")</f>
        <v/>
      </c>
      <c r="F71" s="2" t="str">
        <f t="shared" si="8"/>
        <v/>
      </c>
      <c r="G71" s="2" t="str">
        <f t="shared" si="9"/>
        <v/>
      </c>
      <c r="H71" s="2" t="str">
        <f t="shared" si="10"/>
        <v/>
      </c>
      <c r="I71" s="3" t="e">
        <f t="shared" si="11"/>
        <v>#VALUE!</v>
      </c>
    </row>
    <row r="72" spans="1:9" x14ac:dyDescent="0.3">
      <c r="A72" s="4" t="s">
        <v>15</v>
      </c>
      <c r="B72" s="4"/>
      <c r="C72" s="2">
        <f>IFERROR(VLOOKUP(A72,Urunler!A$2:E$201,2,FALSE),"")</f>
        <v>0</v>
      </c>
      <c r="D72" s="2">
        <f>IFERROR(VLOOKUP(A72,Urunler!A$2:E$201,3,FALSE),"")</f>
        <v>0</v>
      </c>
      <c r="E72" s="2" t="str">
        <f>IFERROR(VLOOKUP(A72,Urunler!A$2:E$201,4,FALSE),"")</f>
        <v/>
      </c>
      <c r="F72" s="2" t="str">
        <f t="shared" si="8"/>
        <v/>
      </c>
      <c r="G72" s="2" t="str">
        <f t="shared" si="9"/>
        <v/>
      </c>
      <c r="H72" s="2" t="str">
        <f t="shared" si="10"/>
        <v/>
      </c>
      <c r="I72" s="3" t="e">
        <f t="shared" si="11"/>
        <v>#VALUE!</v>
      </c>
    </row>
    <row r="73" spans="1:9" x14ac:dyDescent="0.3">
      <c r="A73" s="4" t="s">
        <v>15</v>
      </c>
      <c r="B73" s="4"/>
      <c r="C73" s="2">
        <f>IFERROR(VLOOKUP(A73,Urunler!A$2:E$201,2,FALSE),"")</f>
        <v>0</v>
      </c>
      <c r="D73" s="2">
        <f>IFERROR(VLOOKUP(A73,Urunler!A$2:E$201,3,FALSE),"")</f>
        <v>0</v>
      </c>
      <c r="E73" s="2" t="str">
        <f>IFERROR(VLOOKUP(A73,Urunler!A$2:E$201,4,FALSE),"")</f>
        <v/>
      </c>
      <c r="F73" s="2" t="str">
        <f t="shared" si="8"/>
        <v/>
      </c>
      <c r="G73" s="2" t="str">
        <f t="shared" si="9"/>
        <v/>
      </c>
      <c r="H73" s="2" t="str">
        <f t="shared" si="10"/>
        <v/>
      </c>
      <c r="I73" s="3" t="e">
        <f t="shared" si="11"/>
        <v>#VALUE!</v>
      </c>
    </row>
    <row r="74" spans="1:9" x14ac:dyDescent="0.3">
      <c r="A74" s="4" t="s">
        <v>15</v>
      </c>
      <c r="B74" s="4"/>
      <c r="C74" s="2">
        <f>IFERROR(VLOOKUP(A74,Urunler!A$2:E$201,2,FALSE),"")</f>
        <v>0</v>
      </c>
      <c r="D74" s="2">
        <f>IFERROR(VLOOKUP(A74,Urunler!A$2:E$201,3,FALSE),"")</f>
        <v>0</v>
      </c>
      <c r="E74" s="2" t="str">
        <f>IFERROR(VLOOKUP(A74,Urunler!A$2:E$201,4,FALSE),"")</f>
        <v/>
      </c>
      <c r="F74" s="2" t="str">
        <f t="shared" si="8"/>
        <v/>
      </c>
      <c r="G74" s="2" t="str">
        <f t="shared" si="9"/>
        <v/>
      </c>
      <c r="H74" s="2" t="str">
        <f t="shared" si="10"/>
        <v/>
      </c>
      <c r="I74" s="3" t="e">
        <f t="shared" si="11"/>
        <v>#VALUE!</v>
      </c>
    </row>
    <row r="75" spans="1:9" x14ac:dyDescent="0.3">
      <c r="A75" s="4" t="s">
        <v>15</v>
      </c>
      <c r="B75" s="4"/>
      <c r="C75" s="2">
        <f>IFERROR(VLOOKUP(A75,Urunler!A$2:E$201,2,FALSE),"")</f>
        <v>0</v>
      </c>
      <c r="D75" s="2">
        <f>IFERROR(VLOOKUP(A75,Urunler!A$2:E$201,3,FALSE),"")</f>
        <v>0</v>
      </c>
      <c r="E75" s="2" t="str">
        <f>IFERROR(VLOOKUP(A75,Urunler!A$2:E$201,4,FALSE),"")</f>
        <v/>
      </c>
      <c r="F75" s="2" t="str">
        <f t="shared" si="8"/>
        <v/>
      </c>
      <c r="G75" s="2" t="str">
        <f t="shared" si="9"/>
        <v/>
      </c>
      <c r="H75" s="2" t="str">
        <f t="shared" si="10"/>
        <v/>
      </c>
      <c r="I75" s="3" t="e">
        <f t="shared" si="11"/>
        <v>#VALUE!</v>
      </c>
    </row>
    <row r="76" spans="1:9" x14ac:dyDescent="0.3">
      <c r="A76" s="4" t="s">
        <v>15</v>
      </c>
      <c r="B76" s="4"/>
      <c r="C76" s="2">
        <f>IFERROR(VLOOKUP(A76,Urunler!A$2:E$201,2,FALSE),"")</f>
        <v>0</v>
      </c>
      <c r="D76" s="2">
        <f>IFERROR(VLOOKUP(A76,Urunler!A$2:E$201,3,FALSE),"")</f>
        <v>0</v>
      </c>
      <c r="E76" s="2" t="str">
        <f>IFERROR(VLOOKUP(A76,Urunler!A$2:E$201,4,FALSE),"")</f>
        <v/>
      </c>
      <c r="F76" s="2" t="str">
        <f t="shared" si="8"/>
        <v/>
      </c>
      <c r="G76" s="2" t="str">
        <f t="shared" si="9"/>
        <v/>
      </c>
      <c r="H76" s="2" t="str">
        <f t="shared" si="10"/>
        <v/>
      </c>
      <c r="I76" s="3" t="e">
        <f t="shared" si="11"/>
        <v>#VALUE!</v>
      </c>
    </row>
    <row r="77" spans="1:9" x14ac:dyDescent="0.3">
      <c r="A77" s="4" t="s">
        <v>15</v>
      </c>
      <c r="B77" s="4"/>
      <c r="C77" s="2">
        <f>IFERROR(VLOOKUP(A77,Urunler!A$2:E$201,2,FALSE),"")</f>
        <v>0</v>
      </c>
      <c r="D77" s="2">
        <f>IFERROR(VLOOKUP(A77,Urunler!A$2:E$201,3,FALSE),"")</f>
        <v>0</v>
      </c>
      <c r="E77" s="2" t="str">
        <f>IFERROR(VLOOKUP(A77,Urunler!A$2:E$201,4,FALSE),"")</f>
        <v/>
      </c>
      <c r="F77" s="2" t="str">
        <f t="shared" si="8"/>
        <v/>
      </c>
      <c r="G77" s="2" t="str">
        <f t="shared" si="9"/>
        <v/>
      </c>
      <c r="H77" s="2" t="str">
        <f t="shared" si="10"/>
        <v/>
      </c>
      <c r="I77" s="3" t="e">
        <f t="shared" si="11"/>
        <v>#VALUE!</v>
      </c>
    </row>
    <row r="78" spans="1:9" x14ac:dyDescent="0.3">
      <c r="A78" s="4" t="s">
        <v>15</v>
      </c>
      <c r="B78" s="4"/>
      <c r="C78" s="2">
        <f>IFERROR(VLOOKUP(A78,Urunler!A$2:E$201,2,FALSE),"")</f>
        <v>0</v>
      </c>
      <c r="D78" s="2">
        <f>IFERROR(VLOOKUP(A78,Urunler!A$2:E$201,3,FALSE),"")</f>
        <v>0</v>
      </c>
      <c r="E78" s="2" t="str">
        <f>IFERROR(VLOOKUP(A78,Urunler!A$2:E$201,4,FALSE),"")</f>
        <v/>
      </c>
      <c r="F78" s="2" t="str">
        <f t="shared" si="8"/>
        <v/>
      </c>
      <c r="G78" s="2" t="str">
        <f t="shared" si="9"/>
        <v/>
      </c>
      <c r="H78" s="2" t="str">
        <f t="shared" si="10"/>
        <v/>
      </c>
      <c r="I78" s="3" t="e">
        <f t="shared" si="11"/>
        <v>#VALUE!</v>
      </c>
    </row>
    <row r="79" spans="1:9" x14ac:dyDescent="0.3">
      <c r="A79" s="4" t="s">
        <v>15</v>
      </c>
      <c r="B79" s="4"/>
      <c r="C79" s="2">
        <f>IFERROR(VLOOKUP(A79,Urunler!A$2:E$201,2,FALSE),"")</f>
        <v>0</v>
      </c>
      <c r="D79" s="2">
        <f>IFERROR(VLOOKUP(A79,Urunler!A$2:E$201,3,FALSE),"")</f>
        <v>0</v>
      </c>
      <c r="E79" s="2" t="str">
        <f>IFERROR(VLOOKUP(A79,Urunler!A$2:E$201,4,FALSE),"")</f>
        <v/>
      </c>
      <c r="F79" s="2" t="str">
        <f t="shared" si="8"/>
        <v/>
      </c>
      <c r="G79" s="2" t="str">
        <f t="shared" si="9"/>
        <v/>
      </c>
      <c r="H79" s="2" t="str">
        <f t="shared" si="10"/>
        <v/>
      </c>
      <c r="I79" s="3" t="e">
        <f t="shared" si="11"/>
        <v>#VALUE!</v>
      </c>
    </row>
    <row r="80" spans="1:9" x14ac:dyDescent="0.3">
      <c r="A80" s="4" t="s">
        <v>15</v>
      </c>
      <c r="B80" s="4"/>
      <c r="C80" s="2">
        <f>IFERROR(VLOOKUP(A80,Urunler!A$2:E$201,2,FALSE),"")</f>
        <v>0</v>
      </c>
      <c r="D80" s="2">
        <f>IFERROR(VLOOKUP(A80,Urunler!A$2:E$201,3,FALSE),"")</f>
        <v>0</v>
      </c>
      <c r="E80" s="2" t="str">
        <f>IFERROR(VLOOKUP(A80,Urunler!A$2:E$201,4,FALSE),"")</f>
        <v/>
      </c>
      <c r="F80" s="2" t="str">
        <f t="shared" si="8"/>
        <v/>
      </c>
      <c r="G80" s="2" t="str">
        <f t="shared" si="9"/>
        <v/>
      </c>
      <c r="H80" s="2" t="str">
        <f t="shared" si="10"/>
        <v/>
      </c>
      <c r="I80" s="3" t="e">
        <f t="shared" si="11"/>
        <v>#VALUE!</v>
      </c>
    </row>
    <row r="81" spans="1:9" x14ac:dyDescent="0.3">
      <c r="A81" s="4" t="s">
        <v>15</v>
      </c>
      <c r="B81" s="4"/>
      <c r="C81" s="2">
        <f>IFERROR(VLOOKUP(A81,Urunler!A$2:E$201,2,FALSE),"")</f>
        <v>0</v>
      </c>
      <c r="D81" s="2">
        <f>IFERROR(VLOOKUP(A81,Urunler!A$2:E$201,3,FALSE),"")</f>
        <v>0</v>
      </c>
      <c r="E81" s="2" t="str">
        <f>IFERROR(VLOOKUP(A81,Urunler!A$2:E$201,4,FALSE),"")</f>
        <v/>
      </c>
      <c r="F81" s="2" t="str">
        <f t="shared" si="8"/>
        <v/>
      </c>
      <c r="G81" s="2" t="str">
        <f t="shared" si="9"/>
        <v/>
      </c>
      <c r="H81" s="2" t="str">
        <f t="shared" si="10"/>
        <v/>
      </c>
      <c r="I81" s="3" t="e">
        <f t="shared" si="11"/>
        <v>#VALUE!</v>
      </c>
    </row>
    <row r="82" spans="1:9" x14ac:dyDescent="0.3">
      <c r="A82" s="4" t="s">
        <v>15</v>
      </c>
      <c r="B82" s="4"/>
      <c r="C82" s="2">
        <f>IFERROR(VLOOKUP(A82,Urunler!A$2:E$201,2,FALSE),"")</f>
        <v>0</v>
      </c>
      <c r="D82" s="2">
        <f>IFERROR(VLOOKUP(A82,Urunler!A$2:E$201,3,FALSE),"")</f>
        <v>0</v>
      </c>
      <c r="E82" s="2" t="str">
        <f>IFERROR(VLOOKUP(A82,Urunler!A$2:E$201,4,FALSE),"")</f>
        <v/>
      </c>
      <c r="F82" s="2" t="str">
        <f t="shared" si="8"/>
        <v/>
      </c>
      <c r="G82" s="2" t="str">
        <f t="shared" si="9"/>
        <v/>
      </c>
      <c r="H82" s="2" t="str">
        <f t="shared" si="10"/>
        <v/>
      </c>
      <c r="I82" s="3" t="e">
        <f t="shared" si="11"/>
        <v>#VALUE!</v>
      </c>
    </row>
    <row r="83" spans="1:9" x14ac:dyDescent="0.3">
      <c r="A83" s="4" t="s">
        <v>15</v>
      </c>
      <c r="B83" s="4"/>
      <c r="C83" s="2">
        <f>IFERROR(VLOOKUP(A83,Urunler!A$2:E$201,2,FALSE),"")</f>
        <v>0</v>
      </c>
      <c r="D83" s="2">
        <f>IFERROR(VLOOKUP(A83,Urunler!A$2:E$201,3,FALSE),"")</f>
        <v>0</v>
      </c>
      <c r="E83" s="2" t="str">
        <f>IFERROR(VLOOKUP(A83,Urunler!A$2:E$201,4,FALSE),"")</f>
        <v/>
      </c>
      <c r="F83" s="2" t="str">
        <f t="shared" si="8"/>
        <v/>
      </c>
      <c r="G83" s="2" t="str">
        <f t="shared" si="9"/>
        <v/>
      </c>
      <c r="H83" s="2" t="str">
        <f t="shared" si="10"/>
        <v/>
      </c>
      <c r="I83" s="3" t="e">
        <f t="shared" si="11"/>
        <v>#VALUE!</v>
      </c>
    </row>
    <row r="84" spans="1:9" x14ac:dyDescent="0.3">
      <c r="A84" s="4" t="s">
        <v>15</v>
      </c>
      <c r="B84" s="4"/>
      <c r="C84" s="2">
        <f>IFERROR(VLOOKUP(A84,Urunler!A$2:E$201,2,FALSE),"")</f>
        <v>0</v>
      </c>
      <c r="D84" s="2">
        <f>IFERROR(VLOOKUP(A84,Urunler!A$2:E$201,3,FALSE),"")</f>
        <v>0</v>
      </c>
      <c r="E84" s="2" t="str">
        <f>IFERROR(VLOOKUP(A84,Urunler!A$2:E$201,4,FALSE),"")</f>
        <v/>
      </c>
      <c r="F84" s="2" t="str">
        <f t="shared" si="8"/>
        <v/>
      </c>
      <c r="G84" s="2" t="str">
        <f t="shared" si="9"/>
        <v/>
      </c>
      <c r="H84" s="2" t="str">
        <f t="shared" si="10"/>
        <v/>
      </c>
      <c r="I84" s="3" t="e">
        <f t="shared" si="11"/>
        <v>#VALUE!</v>
      </c>
    </row>
    <row r="85" spans="1:9" x14ac:dyDescent="0.3">
      <c r="A85" s="4" t="s">
        <v>15</v>
      </c>
      <c r="B85" s="4"/>
      <c r="C85" s="2">
        <f>IFERROR(VLOOKUP(A85,Urunler!A$2:E$201,2,FALSE),"")</f>
        <v>0</v>
      </c>
      <c r="D85" s="2">
        <f>IFERROR(VLOOKUP(A85,Urunler!A$2:E$201,3,FALSE),"")</f>
        <v>0</v>
      </c>
      <c r="E85" s="2" t="str">
        <f>IFERROR(VLOOKUP(A85,Urunler!A$2:E$201,4,FALSE),"")</f>
        <v/>
      </c>
      <c r="F85" s="2" t="str">
        <f t="shared" si="8"/>
        <v/>
      </c>
      <c r="G85" s="2" t="str">
        <f t="shared" si="9"/>
        <v/>
      </c>
      <c r="H85" s="2" t="str">
        <f t="shared" si="10"/>
        <v/>
      </c>
      <c r="I85" s="3" t="e">
        <f t="shared" si="11"/>
        <v>#VALUE!</v>
      </c>
    </row>
    <row r="86" spans="1:9" x14ac:dyDescent="0.3">
      <c r="A86" s="4" t="s">
        <v>15</v>
      </c>
      <c r="B86" s="4"/>
      <c r="C86" s="2">
        <f>IFERROR(VLOOKUP(A86,Urunler!A$2:E$201,2,FALSE),"")</f>
        <v>0</v>
      </c>
      <c r="D86" s="2">
        <f>IFERROR(VLOOKUP(A86,Urunler!A$2:E$201,3,FALSE),"")</f>
        <v>0</v>
      </c>
      <c r="E86" s="2" t="str">
        <f>IFERROR(VLOOKUP(A86,Urunler!A$2:E$201,4,FALSE),"")</f>
        <v/>
      </c>
      <c r="F86" s="2" t="str">
        <f t="shared" si="8"/>
        <v/>
      </c>
      <c r="G86" s="2" t="str">
        <f t="shared" si="9"/>
        <v/>
      </c>
      <c r="H86" s="2" t="str">
        <f t="shared" si="10"/>
        <v/>
      </c>
      <c r="I86" s="3" t="e">
        <f t="shared" si="11"/>
        <v>#VALUE!</v>
      </c>
    </row>
    <row r="87" spans="1:9" x14ac:dyDescent="0.3">
      <c r="A87" s="4" t="s">
        <v>15</v>
      </c>
      <c r="B87" s="4"/>
      <c r="C87" s="2">
        <f>IFERROR(VLOOKUP(A87,Urunler!A$2:E$201,2,FALSE),"")</f>
        <v>0</v>
      </c>
      <c r="D87" s="2">
        <f>IFERROR(VLOOKUP(A87,Urunler!A$2:E$201,3,FALSE),"")</f>
        <v>0</v>
      </c>
      <c r="E87" s="2" t="str">
        <f>IFERROR(VLOOKUP(A87,Urunler!A$2:E$201,4,FALSE),"")</f>
        <v/>
      </c>
      <c r="F87" s="2" t="str">
        <f t="shared" si="8"/>
        <v/>
      </c>
      <c r="G87" s="2" t="str">
        <f t="shared" si="9"/>
        <v/>
      </c>
      <c r="H87" s="2" t="str">
        <f t="shared" si="10"/>
        <v/>
      </c>
      <c r="I87" s="3" t="e">
        <f t="shared" si="11"/>
        <v>#VALUE!</v>
      </c>
    </row>
    <row r="88" spans="1:9" x14ac:dyDescent="0.3">
      <c r="A88" s="4" t="s">
        <v>15</v>
      </c>
      <c r="B88" s="4"/>
      <c r="C88" s="2">
        <f>IFERROR(VLOOKUP(A88,Urunler!A$2:E$201,2,FALSE),"")</f>
        <v>0</v>
      </c>
      <c r="D88" s="2">
        <f>IFERROR(VLOOKUP(A88,Urunler!A$2:E$201,3,FALSE),"")</f>
        <v>0</v>
      </c>
      <c r="E88" s="2" t="str">
        <f>IFERROR(VLOOKUP(A88,Urunler!A$2:E$201,4,FALSE),"")</f>
        <v/>
      </c>
      <c r="F88" s="2" t="str">
        <f t="shared" si="8"/>
        <v/>
      </c>
      <c r="G88" s="2" t="str">
        <f t="shared" si="9"/>
        <v/>
      </c>
      <c r="H88" s="2" t="str">
        <f t="shared" si="10"/>
        <v/>
      </c>
      <c r="I88" s="3" t="e">
        <f t="shared" si="11"/>
        <v>#VALUE!</v>
      </c>
    </row>
    <row r="89" spans="1:9" x14ac:dyDescent="0.3">
      <c r="A89" s="4" t="s">
        <v>15</v>
      </c>
      <c r="B89" s="4"/>
      <c r="C89" s="2">
        <f>IFERROR(VLOOKUP(A89,Urunler!A$2:E$201,2,FALSE),"")</f>
        <v>0</v>
      </c>
      <c r="D89" s="2">
        <f>IFERROR(VLOOKUP(A89,Urunler!A$2:E$201,3,FALSE),"")</f>
        <v>0</v>
      </c>
      <c r="E89" s="2" t="str">
        <f>IFERROR(VLOOKUP(A89,Urunler!A$2:E$201,4,FALSE),"")</f>
        <v/>
      </c>
      <c r="F89" s="2" t="str">
        <f t="shared" si="8"/>
        <v/>
      </c>
      <c r="G89" s="2" t="str">
        <f t="shared" si="9"/>
        <v/>
      </c>
      <c r="H89" s="2" t="str">
        <f t="shared" si="10"/>
        <v/>
      </c>
      <c r="I89" s="3" t="e">
        <f t="shared" si="11"/>
        <v>#VALUE!</v>
      </c>
    </row>
    <row r="90" spans="1:9" x14ac:dyDescent="0.3">
      <c r="A90" s="4" t="s">
        <v>15</v>
      </c>
      <c r="B90" s="4"/>
      <c r="C90" s="2">
        <f>IFERROR(VLOOKUP(A90,Urunler!A$2:E$201,2,FALSE),"")</f>
        <v>0</v>
      </c>
      <c r="D90" s="2">
        <f>IFERROR(VLOOKUP(A90,Urunler!A$2:E$201,3,FALSE),"")</f>
        <v>0</v>
      </c>
      <c r="E90" s="2" t="str">
        <f>IFERROR(VLOOKUP(A90,Urunler!A$2:E$201,4,FALSE),"")</f>
        <v/>
      </c>
      <c r="F90" s="2" t="str">
        <f t="shared" si="8"/>
        <v/>
      </c>
      <c r="G90" s="2" t="str">
        <f t="shared" si="9"/>
        <v/>
      </c>
      <c r="H90" s="2" t="str">
        <f t="shared" si="10"/>
        <v/>
      </c>
      <c r="I90" s="3" t="e">
        <f t="shared" si="11"/>
        <v>#VALUE!</v>
      </c>
    </row>
    <row r="91" spans="1:9" x14ac:dyDescent="0.3">
      <c r="A91" s="4" t="s">
        <v>15</v>
      </c>
      <c r="B91" s="4"/>
      <c r="C91" s="2">
        <f>IFERROR(VLOOKUP(A91,Urunler!A$2:E$201,2,FALSE),"")</f>
        <v>0</v>
      </c>
      <c r="D91" s="2">
        <f>IFERROR(VLOOKUP(A91,Urunler!A$2:E$201,3,FALSE),"")</f>
        <v>0</v>
      </c>
      <c r="E91" s="2" t="str">
        <f>IFERROR(VLOOKUP(A91,Urunler!A$2:E$201,4,FALSE),"")</f>
        <v/>
      </c>
      <c r="F91" s="2" t="str">
        <f t="shared" si="8"/>
        <v/>
      </c>
      <c r="G91" s="2" t="str">
        <f t="shared" si="9"/>
        <v/>
      </c>
      <c r="H91" s="2" t="str">
        <f t="shared" si="10"/>
        <v/>
      </c>
      <c r="I91" s="3" t="e">
        <f t="shared" si="11"/>
        <v>#VALUE!</v>
      </c>
    </row>
    <row r="92" spans="1:9" x14ac:dyDescent="0.3">
      <c r="A92" s="4" t="s">
        <v>15</v>
      </c>
      <c r="B92" s="4"/>
      <c r="C92" s="2">
        <f>IFERROR(VLOOKUP(A92,Urunler!A$2:E$201,2,FALSE),"")</f>
        <v>0</v>
      </c>
      <c r="D92" s="2">
        <f>IFERROR(VLOOKUP(A92,Urunler!A$2:E$201,3,FALSE),"")</f>
        <v>0</v>
      </c>
      <c r="E92" s="2" t="str">
        <f>IFERROR(VLOOKUP(A92,Urunler!A$2:E$201,4,FALSE),"")</f>
        <v/>
      </c>
      <c r="F92" s="2" t="str">
        <f t="shared" si="8"/>
        <v/>
      </c>
      <c r="G92" s="2" t="str">
        <f t="shared" si="9"/>
        <v/>
      </c>
      <c r="H92" s="2" t="str">
        <f t="shared" si="10"/>
        <v/>
      </c>
      <c r="I92" s="3" t="e">
        <f t="shared" si="11"/>
        <v>#VALUE!</v>
      </c>
    </row>
    <row r="93" spans="1:9" x14ac:dyDescent="0.3">
      <c r="A93" s="4" t="s">
        <v>15</v>
      </c>
      <c r="B93" s="4"/>
      <c r="C93" s="2">
        <f>IFERROR(VLOOKUP(A93,Urunler!A$2:E$201,2,FALSE),"")</f>
        <v>0</v>
      </c>
      <c r="D93" s="2">
        <f>IFERROR(VLOOKUP(A93,Urunler!A$2:E$201,3,FALSE),"")</f>
        <v>0</v>
      </c>
      <c r="E93" s="2" t="str">
        <f>IFERROR(VLOOKUP(A93,Urunler!A$2:E$201,4,FALSE),"")</f>
        <v/>
      </c>
      <c r="F93" s="2" t="str">
        <f t="shared" si="8"/>
        <v/>
      </c>
      <c r="G93" s="2" t="str">
        <f t="shared" si="9"/>
        <v/>
      </c>
      <c r="H93" s="2" t="str">
        <f t="shared" si="10"/>
        <v/>
      </c>
      <c r="I93" s="3" t="e">
        <f t="shared" si="11"/>
        <v>#VALUE!</v>
      </c>
    </row>
    <row r="94" spans="1:9" x14ac:dyDescent="0.3">
      <c r="A94" s="4" t="s">
        <v>15</v>
      </c>
      <c r="B94" s="4"/>
      <c r="C94" s="2">
        <f>IFERROR(VLOOKUP(A94,Urunler!A$2:E$201,2,FALSE),"")</f>
        <v>0</v>
      </c>
      <c r="D94" s="2">
        <f>IFERROR(VLOOKUP(A94,Urunler!A$2:E$201,3,FALSE),"")</f>
        <v>0</v>
      </c>
      <c r="E94" s="2" t="str">
        <f>IFERROR(VLOOKUP(A94,Urunler!A$2:E$201,4,FALSE),"")</f>
        <v/>
      </c>
      <c r="F94" s="2" t="str">
        <f t="shared" si="8"/>
        <v/>
      </c>
      <c r="G94" s="2" t="str">
        <f t="shared" si="9"/>
        <v/>
      </c>
      <c r="H94" s="2" t="str">
        <f t="shared" si="10"/>
        <v/>
      </c>
      <c r="I94" s="3" t="e">
        <f t="shared" si="11"/>
        <v>#VALUE!</v>
      </c>
    </row>
    <row r="95" spans="1:9" x14ac:dyDescent="0.3">
      <c r="A95" s="4" t="s">
        <v>15</v>
      </c>
      <c r="B95" s="4"/>
      <c r="C95" s="2">
        <f>IFERROR(VLOOKUP(A95,Urunler!A$2:E$201,2,FALSE),"")</f>
        <v>0</v>
      </c>
      <c r="D95" s="2">
        <f>IFERROR(VLOOKUP(A95,Urunler!A$2:E$201,3,FALSE),"")</f>
        <v>0</v>
      </c>
      <c r="E95" s="2" t="str">
        <f>IFERROR(VLOOKUP(A95,Urunler!A$2:E$201,4,FALSE),"")</f>
        <v/>
      </c>
      <c r="F95" s="2" t="str">
        <f t="shared" si="8"/>
        <v/>
      </c>
      <c r="G95" s="2" t="str">
        <f t="shared" si="9"/>
        <v/>
      </c>
      <c r="H95" s="2" t="str">
        <f t="shared" si="10"/>
        <v/>
      </c>
      <c r="I95" s="3" t="e">
        <f t="shared" si="11"/>
        <v>#VALUE!</v>
      </c>
    </row>
    <row r="96" spans="1:9" x14ac:dyDescent="0.3">
      <c r="A96" s="4" t="s">
        <v>15</v>
      </c>
      <c r="B96" s="4"/>
      <c r="C96" s="2">
        <f>IFERROR(VLOOKUP(A96,Urunler!A$2:E$201,2,FALSE),"")</f>
        <v>0</v>
      </c>
      <c r="D96" s="2">
        <f>IFERROR(VLOOKUP(A96,Urunler!A$2:E$201,3,FALSE),"")</f>
        <v>0</v>
      </c>
      <c r="E96" s="2" t="str">
        <f>IFERROR(VLOOKUP(A96,Urunler!A$2:E$201,4,FALSE),"")</f>
        <v/>
      </c>
      <c r="F96" s="2" t="str">
        <f t="shared" si="8"/>
        <v/>
      </c>
      <c r="G96" s="2" t="str">
        <f t="shared" si="9"/>
        <v/>
      </c>
      <c r="H96" s="2" t="str">
        <f t="shared" si="10"/>
        <v/>
      </c>
      <c r="I96" s="3" t="e">
        <f t="shared" si="11"/>
        <v>#VALUE!</v>
      </c>
    </row>
    <row r="97" spans="1:9" x14ac:dyDescent="0.3">
      <c r="A97" s="4" t="s">
        <v>15</v>
      </c>
      <c r="B97" s="4"/>
      <c r="C97" s="2">
        <f>IFERROR(VLOOKUP(A97,Urunler!A$2:E$201,2,FALSE),"")</f>
        <v>0</v>
      </c>
      <c r="D97" s="2">
        <f>IFERROR(VLOOKUP(A97,Urunler!A$2:E$201,3,FALSE),"")</f>
        <v>0</v>
      </c>
      <c r="E97" s="2" t="str">
        <f>IFERROR(VLOOKUP(A97,Urunler!A$2:E$201,4,FALSE),"")</f>
        <v/>
      </c>
      <c r="F97" s="2" t="str">
        <f t="shared" si="8"/>
        <v/>
      </c>
      <c r="G97" s="2" t="str">
        <f t="shared" si="9"/>
        <v/>
      </c>
      <c r="H97" s="2" t="str">
        <f t="shared" si="10"/>
        <v/>
      </c>
      <c r="I97" s="3" t="e">
        <f t="shared" si="11"/>
        <v>#VALUE!</v>
      </c>
    </row>
    <row r="98" spans="1:9" x14ac:dyDescent="0.3">
      <c r="A98" s="4" t="s">
        <v>15</v>
      </c>
      <c r="B98" s="4"/>
      <c r="C98" s="2">
        <f>IFERROR(VLOOKUP(A98,Urunler!A$2:E$201,2,FALSE),"")</f>
        <v>0</v>
      </c>
      <c r="D98" s="2">
        <f>IFERROR(VLOOKUP(A98,Urunler!A$2:E$201,3,FALSE),"")</f>
        <v>0</v>
      </c>
      <c r="E98" s="2" t="str">
        <f>IFERROR(VLOOKUP(A98,Urunler!A$2:E$201,4,FALSE),"")</f>
        <v/>
      </c>
      <c r="F98" s="2" t="str">
        <f t="shared" si="8"/>
        <v/>
      </c>
      <c r="G98" s="2" t="str">
        <f t="shared" si="9"/>
        <v/>
      </c>
      <c r="H98" s="2" t="str">
        <f t="shared" si="10"/>
        <v/>
      </c>
      <c r="I98" s="3" t="e">
        <f t="shared" si="11"/>
        <v>#VALUE!</v>
      </c>
    </row>
    <row r="99" spans="1:9" x14ac:dyDescent="0.3">
      <c r="A99" s="4" t="s">
        <v>15</v>
      </c>
      <c r="B99" s="4"/>
      <c r="C99" s="2">
        <f>IFERROR(VLOOKUP(A99,Urunler!A$2:E$201,2,FALSE),"")</f>
        <v>0</v>
      </c>
      <c r="D99" s="2">
        <f>IFERROR(VLOOKUP(A99,Urunler!A$2:E$201,3,FALSE),"")</f>
        <v>0</v>
      </c>
      <c r="E99" s="2" t="str">
        <f>IFERROR(VLOOKUP(A99,Urunler!A$2:E$201,4,FALSE),"")</f>
        <v/>
      </c>
      <c r="F99" s="2" t="str">
        <f t="shared" si="8"/>
        <v/>
      </c>
      <c r="G99" s="2" t="str">
        <f t="shared" si="9"/>
        <v/>
      </c>
      <c r="H99" s="2" t="str">
        <f t="shared" si="10"/>
        <v/>
      </c>
      <c r="I99" s="3" t="e">
        <f t="shared" si="11"/>
        <v>#VALUE!</v>
      </c>
    </row>
    <row r="100" spans="1:9" x14ac:dyDescent="0.3">
      <c r="A100" s="4" t="s">
        <v>15</v>
      </c>
      <c r="B100" s="4"/>
      <c r="C100" s="2">
        <f>IFERROR(VLOOKUP(A100,Urunler!A$2:E$201,2,FALSE),"")</f>
        <v>0</v>
      </c>
      <c r="D100" s="2">
        <f>IFERROR(VLOOKUP(A100,Urunler!A$2:E$201,3,FALSE),"")</f>
        <v>0</v>
      </c>
      <c r="E100" s="2" t="str">
        <f>IFERROR(VLOOKUP(A100,Urunler!A$2:E$201,4,FALSE),"")</f>
        <v/>
      </c>
      <c r="F100" s="2" t="str">
        <f t="shared" si="8"/>
        <v/>
      </c>
      <c r="G100" s="2" t="str">
        <f t="shared" si="9"/>
        <v/>
      </c>
      <c r="H100" s="2" t="str">
        <f t="shared" si="10"/>
        <v/>
      </c>
      <c r="I100" s="3" t="e">
        <f t="shared" si="11"/>
        <v>#VALUE!</v>
      </c>
    </row>
    <row r="101" spans="1:9" x14ac:dyDescent="0.3">
      <c r="A101" s="4" t="s">
        <v>15</v>
      </c>
      <c r="B101" s="4"/>
      <c r="C101" s="2">
        <f>IFERROR(VLOOKUP(A101,Urunler!A$2:E$201,2,FALSE),"")</f>
        <v>0</v>
      </c>
      <c r="D101" s="2">
        <f>IFERROR(VLOOKUP(A101,Urunler!A$2:E$201,3,FALSE),"")</f>
        <v>0</v>
      </c>
      <c r="E101" s="2" t="str">
        <f>IFERROR(VLOOKUP(A101,Urunler!A$2:E$201,4,FALSE),"")</f>
        <v/>
      </c>
      <c r="F101" s="2" t="str">
        <f t="shared" si="8"/>
        <v/>
      </c>
      <c r="G101" s="2" t="str">
        <f t="shared" si="9"/>
        <v/>
      </c>
      <c r="H101" s="2" t="str">
        <f t="shared" si="10"/>
        <v/>
      </c>
      <c r="I101" s="3" t="e">
        <f t="shared" si="11"/>
        <v>#VALUE!</v>
      </c>
    </row>
    <row r="102" spans="1:9" x14ac:dyDescent="0.3">
      <c r="A102" s="4" t="s">
        <v>15</v>
      </c>
      <c r="B102" s="4"/>
      <c r="C102" s="2">
        <f>IFERROR(VLOOKUP(A102,Urunler!A$2:E$201,2,FALSE),"")</f>
        <v>0</v>
      </c>
      <c r="D102" s="2">
        <f>IFERROR(VLOOKUP(A102,Urunler!A$2:E$201,3,FALSE),"")</f>
        <v>0</v>
      </c>
      <c r="E102" s="2" t="str">
        <f>IFERROR(VLOOKUP(A102,Urunler!A$2:E$201,4,FALSE),"")</f>
        <v/>
      </c>
      <c r="F102" s="2" t="str">
        <f t="shared" ref="F102:F133" si="12">IF(OR(B102="",C102=""),"",B102*C102)</f>
        <v/>
      </c>
      <c r="G102" s="2" t="str">
        <f t="shared" ref="G102:G133" si="13">IF(OR(B102="",D102=""),"",B102*D102)</f>
        <v/>
      </c>
      <c r="H102" s="2" t="str">
        <f t="shared" ref="H102:H133" si="14">IF(OR(B102="",E102=""),"",B102*E102)</f>
        <v/>
      </c>
      <c r="I102" s="3" t="e">
        <f t="shared" ref="I102:I133" si="15">IF(F102=0,"",H102/F102)</f>
        <v>#VALUE!</v>
      </c>
    </row>
    <row r="103" spans="1:9" x14ac:dyDescent="0.3">
      <c r="A103" s="4" t="s">
        <v>15</v>
      </c>
      <c r="B103" s="4"/>
      <c r="C103" s="2">
        <f>IFERROR(VLOOKUP(A103,Urunler!A$2:E$201,2,FALSE),"")</f>
        <v>0</v>
      </c>
      <c r="D103" s="2">
        <f>IFERROR(VLOOKUP(A103,Urunler!A$2:E$201,3,FALSE),"")</f>
        <v>0</v>
      </c>
      <c r="E103" s="2" t="str">
        <f>IFERROR(VLOOKUP(A103,Urunler!A$2:E$201,4,FALSE),"")</f>
        <v/>
      </c>
      <c r="F103" s="2" t="str">
        <f t="shared" si="12"/>
        <v/>
      </c>
      <c r="G103" s="2" t="str">
        <f t="shared" si="13"/>
        <v/>
      </c>
      <c r="H103" s="2" t="str">
        <f t="shared" si="14"/>
        <v/>
      </c>
      <c r="I103" s="3" t="e">
        <f t="shared" si="15"/>
        <v>#VALUE!</v>
      </c>
    </row>
    <row r="104" spans="1:9" x14ac:dyDescent="0.3">
      <c r="A104" s="4" t="s">
        <v>15</v>
      </c>
      <c r="B104" s="4"/>
      <c r="C104" s="2">
        <f>IFERROR(VLOOKUP(A104,Urunler!A$2:E$201,2,FALSE),"")</f>
        <v>0</v>
      </c>
      <c r="D104" s="2">
        <f>IFERROR(VLOOKUP(A104,Urunler!A$2:E$201,3,FALSE),"")</f>
        <v>0</v>
      </c>
      <c r="E104" s="2" t="str">
        <f>IFERROR(VLOOKUP(A104,Urunler!A$2:E$201,4,FALSE),"")</f>
        <v/>
      </c>
      <c r="F104" s="2" t="str">
        <f t="shared" si="12"/>
        <v/>
      </c>
      <c r="G104" s="2" t="str">
        <f t="shared" si="13"/>
        <v/>
      </c>
      <c r="H104" s="2" t="str">
        <f t="shared" si="14"/>
        <v/>
      </c>
      <c r="I104" s="3" t="e">
        <f t="shared" si="15"/>
        <v>#VALUE!</v>
      </c>
    </row>
    <row r="105" spans="1:9" x14ac:dyDescent="0.3">
      <c r="A105" s="4" t="s">
        <v>15</v>
      </c>
      <c r="B105" s="4"/>
      <c r="C105" s="2">
        <f>IFERROR(VLOOKUP(A105,Urunler!A$2:E$201,2,FALSE),"")</f>
        <v>0</v>
      </c>
      <c r="D105" s="2">
        <f>IFERROR(VLOOKUP(A105,Urunler!A$2:E$201,3,FALSE),"")</f>
        <v>0</v>
      </c>
      <c r="E105" s="2" t="str">
        <f>IFERROR(VLOOKUP(A105,Urunler!A$2:E$201,4,FALSE),"")</f>
        <v/>
      </c>
      <c r="F105" s="2" t="str">
        <f t="shared" si="12"/>
        <v/>
      </c>
      <c r="G105" s="2" t="str">
        <f t="shared" si="13"/>
        <v/>
      </c>
      <c r="H105" s="2" t="str">
        <f t="shared" si="14"/>
        <v/>
      </c>
      <c r="I105" s="3" t="e">
        <f t="shared" si="15"/>
        <v>#VALUE!</v>
      </c>
    </row>
    <row r="106" spans="1:9" x14ac:dyDescent="0.3">
      <c r="A106" s="4" t="s">
        <v>15</v>
      </c>
      <c r="B106" s="4"/>
      <c r="C106" s="2">
        <f>IFERROR(VLOOKUP(A106,Urunler!A$2:E$201,2,FALSE),"")</f>
        <v>0</v>
      </c>
      <c r="D106" s="2">
        <f>IFERROR(VLOOKUP(A106,Urunler!A$2:E$201,3,FALSE),"")</f>
        <v>0</v>
      </c>
      <c r="E106" s="2" t="str">
        <f>IFERROR(VLOOKUP(A106,Urunler!A$2:E$201,4,FALSE),"")</f>
        <v/>
      </c>
      <c r="F106" s="2" t="str">
        <f t="shared" si="12"/>
        <v/>
      </c>
      <c r="G106" s="2" t="str">
        <f t="shared" si="13"/>
        <v/>
      </c>
      <c r="H106" s="2" t="str">
        <f t="shared" si="14"/>
        <v/>
      </c>
      <c r="I106" s="3" t="e">
        <f t="shared" si="15"/>
        <v>#VALUE!</v>
      </c>
    </row>
    <row r="107" spans="1:9" x14ac:dyDescent="0.3">
      <c r="A107" s="4" t="s">
        <v>15</v>
      </c>
      <c r="B107" s="4"/>
      <c r="C107" s="2">
        <f>IFERROR(VLOOKUP(A107,Urunler!A$2:E$201,2,FALSE),"")</f>
        <v>0</v>
      </c>
      <c r="D107" s="2">
        <f>IFERROR(VLOOKUP(A107,Urunler!A$2:E$201,3,FALSE),"")</f>
        <v>0</v>
      </c>
      <c r="E107" s="2" t="str">
        <f>IFERROR(VLOOKUP(A107,Urunler!A$2:E$201,4,FALSE),"")</f>
        <v/>
      </c>
      <c r="F107" s="2" t="str">
        <f t="shared" si="12"/>
        <v/>
      </c>
      <c r="G107" s="2" t="str">
        <f t="shared" si="13"/>
        <v/>
      </c>
      <c r="H107" s="2" t="str">
        <f t="shared" si="14"/>
        <v/>
      </c>
      <c r="I107" s="3" t="e">
        <f t="shared" si="15"/>
        <v>#VALUE!</v>
      </c>
    </row>
    <row r="108" spans="1:9" x14ac:dyDescent="0.3">
      <c r="A108" s="4" t="s">
        <v>15</v>
      </c>
      <c r="B108" s="4"/>
      <c r="C108" s="2">
        <f>IFERROR(VLOOKUP(A108,Urunler!A$2:E$201,2,FALSE),"")</f>
        <v>0</v>
      </c>
      <c r="D108" s="2">
        <f>IFERROR(VLOOKUP(A108,Urunler!A$2:E$201,3,FALSE),"")</f>
        <v>0</v>
      </c>
      <c r="E108" s="2" t="str">
        <f>IFERROR(VLOOKUP(A108,Urunler!A$2:E$201,4,FALSE),"")</f>
        <v/>
      </c>
      <c r="F108" s="2" t="str">
        <f t="shared" si="12"/>
        <v/>
      </c>
      <c r="G108" s="2" t="str">
        <f t="shared" si="13"/>
        <v/>
      </c>
      <c r="H108" s="2" t="str">
        <f t="shared" si="14"/>
        <v/>
      </c>
      <c r="I108" s="3" t="e">
        <f t="shared" si="15"/>
        <v>#VALUE!</v>
      </c>
    </row>
    <row r="109" spans="1:9" x14ac:dyDescent="0.3">
      <c r="A109" s="4" t="s">
        <v>15</v>
      </c>
      <c r="B109" s="4"/>
      <c r="C109" s="2">
        <f>IFERROR(VLOOKUP(A109,Urunler!A$2:E$201,2,FALSE),"")</f>
        <v>0</v>
      </c>
      <c r="D109" s="2">
        <f>IFERROR(VLOOKUP(A109,Urunler!A$2:E$201,3,FALSE),"")</f>
        <v>0</v>
      </c>
      <c r="E109" s="2" t="str">
        <f>IFERROR(VLOOKUP(A109,Urunler!A$2:E$201,4,FALSE),"")</f>
        <v/>
      </c>
      <c r="F109" s="2" t="str">
        <f t="shared" si="12"/>
        <v/>
      </c>
      <c r="G109" s="2" t="str">
        <f t="shared" si="13"/>
        <v/>
      </c>
      <c r="H109" s="2" t="str">
        <f t="shared" si="14"/>
        <v/>
      </c>
      <c r="I109" s="3" t="e">
        <f t="shared" si="15"/>
        <v>#VALUE!</v>
      </c>
    </row>
    <row r="110" spans="1:9" x14ac:dyDescent="0.3">
      <c r="A110" s="4" t="s">
        <v>15</v>
      </c>
      <c r="B110" s="4"/>
      <c r="C110" s="2">
        <f>IFERROR(VLOOKUP(A110,Urunler!A$2:E$201,2,FALSE),"")</f>
        <v>0</v>
      </c>
      <c r="D110" s="2">
        <f>IFERROR(VLOOKUP(A110,Urunler!A$2:E$201,3,FALSE),"")</f>
        <v>0</v>
      </c>
      <c r="E110" s="2" t="str">
        <f>IFERROR(VLOOKUP(A110,Urunler!A$2:E$201,4,FALSE),"")</f>
        <v/>
      </c>
      <c r="F110" s="2" t="str">
        <f t="shared" si="12"/>
        <v/>
      </c>
      <c r="G110" s="2" t="str">
        <f t="shared" si="13"/>
        <v/>
      </c>
      <c r="H110" s="2" t="str">
        <f t="shared" si="14"/>
        <v/>
      </c>
      <c r="I110" s="3" t="e">
        <f t="shared" si="15"/>
        <v>#VALUE!</v>
      </c>
    </row>
    <row r="111" spans="1:9" x14ac:dyDescent="0.3">
      <c r="A111" s="4" t="s">
        <v>15</v>
      </c>
      <c r="B111" s="4"/>
      <c r="C111" s="2">
        <f>IFERROR(VLOOKUP(A111,Urunler!A$2:E$201,2,FALSE),"")</f>
        <v>0</v>
      </c>
      <c r="D111" s="2">
        <f>IFERROR(VLOOKUP(A111,Urunler!A$2:E$201,3,FALSE),"")</f>
        <v>0</v>
      </c>
      <c r="E111" s="2" t="str">
        <f>IFERROR(VLOOKUP(A111,Urunler!A$2:E$201,4,FALSE),"")</f>
        <v/>
      </c>
      <c r="F111" s="2" t="str">
        <f t="shared" si="12"/>
        <v/>
      </c>
      <c r="G111" s="2" t="str">
        <f t="shared" si="13"/>
        <v/>
      </c>
      <c r="H111" s="2" t="str">
        <f t="shared" si="14"/>
        <v/>
      </c>
      <c r="I111" s="3" t="e">
        <f t="shared" si="15"/>
        <v>#VALUE!</v>
      </c>
    </row>
    <row r="112" spans="1:9" x14ac:dyDescent="0.3">
      <c r="A112" s="4" t="s">
        <v>15</v>
      </c>
      <c r="B112" s="4"/>
      <c r="C112" s="2">
        <f>IFERROR(VLOOKUP(A112,Urunler!A$2:E$201,2,FALSE),"")</f>
        <v>0</v>
      </c>
      <c r="D112" s="2">
        <f>IFERROR(VLOOKUP(A112,Urunler!A$2:E$201,3,FALSE),"")</f>
        <v>0</v>
      </c>
      <c r="E112" s="2" t="str">
        <f>IFERROR(VLOOKUP(A112,Urunler!A$2:E$201,4,FALSE),"")</f>
        <v/>
      </c>
      <c r="F112" s="2" t="str">
        <f t="shared" si="12"/>
        <v/>
      </c>
      <c r="G112" s="2" t="str">
        <f t="shared" si="13"/>
        <v/>
      </c>
      <c r="H112" s="2" t="str">
        <f t="shared" si="14"/>
        <v/>
      </c>
      <c r="I112" s="3" t="e">
        <f t="shared" si="15"/>
        <v>#VALUE!</v>
      </c>
    </row>
    <row r="113" spans="1:9" x14ac:dyDescent="0.3">
      <c r="A113" s="4" t="s">
        <v>15</v>
      </c>
      <c r="B113" s="4"/>
      <c r="C113" s="2">
        <f>IFERROR(VLOOKUP(A113,Urunler!A$2:E$201,2,FALSE),"")</f>
        <v>0</v>
      </c>
      <c r="D113" s="2">
        <f>IFERROR(VLOOKUP(A113,Urunler!A$2:E$201,3,FALSE),"")</f>
        <v>0</v>
      </c>
      <c r="E113" s="2" t="str">
        <f>IFERROR(VLOOKUP(A113,Urunler!A$2:E$201,4,FALSE),"")</f>
        <v/>
      </c>
      <c r="F113" s="2" t="str">
        <f t="shared" si="12"/>
        <v/>
      </c>
      <c r="G113" s="2" t="str">
        <f t="shared" si="13"/>
        <v/>
      </c>
      <c r="H113" s="2" t="str">
        <f t="shared" si="14"/>
        <v/>
      </c>
      <c r="I113" s="3" t="e">
        <f t="shared" si="15"/>
        <v>#VALUE!</v>
      </c>
    </row>
    <row r="114" spans="1:9" x14ac:dyDescent="0.3">
      <c r="A114" s="4" t="s">
        <v>15</v>
      </c>
      <c r="B114" s="4"/>
      <c r="C114" s="2">
        <f>IFERROR(VLOOKUP(A114,Urunler!A$2:E$201,2,FALSE),"")</f>
        <v>0</v>
      </c>
      <c r="D114" s="2">
        <f>IFERROR(VLOOKUP(A114,Urunler!A$2:E$201,3,FALSE),"")</f>
        <v>0</v>
      </c>
      <c r="E114" s="2" t="str">
        <f>IFERROR(VLOOKUP(A114,Urunler!A$2:E$201,4,FALSE),"")</f>
        <v/>
      </c>
      <c r="F114" s="2" t="str">
        <f t="shared" si="12"/>
        <v/>
      </c>
      <c r="G114" s="2" t="str">
        <f t="shared" si="13"/>
        <v/>
      </c>
      <c r="H114" s="2" t="str">
        <f t="shared" si="14"/>
        <v/>
      </c>
      <c r="I114" s="3" t="e">
        <f t="shared" si="15"/>
        <v>#VALUE!</v>
      </c>
    </row>
    <row r="115" spans="1:9" x14ac:dyDescent="0.3">
      <c r="A115" s="4" t="s">
        <v>15</v>
      </c>
      <c r="B115" s="4"/>
      <c r="C115" s="2">
        <f>IFERROR(VLOOKUP(A115,Urunler!A$2:E$201,2,FALSE),"")</f>
        <v>0</v>
      </c>
      <c r="D115" s="2">
        <f>IFERROR(VLOOKUP(A115,Urunler!A$2:E$201,3,FALSE),"")</f>
        <v>0</v>
      </c>
      <c r="E115" s="2" t="str">
        <f>IFERROR(VLOOKUP(A115,Urunler!A$2:E$201,4,FALSE),"")</f>
        <v/>
      </c>
      <c r="F115" s="2" t="str">
        <f t="shared" si="12"/>
        <v/>
      </c>
      <c r="G115" s="2" t="str">
        <f t="shared" si="13"/>
        <v/>
      </c>
      <c r="H115" s="2" t="str">
        <f t="shared" si="14"/>
        <v/>
      </c>
      <c r="I115" s="3" t="e">
        <f t="shared" si="15"/>
        <v>#VALUE!</v>
      </c>
    </row>
    <row r="116" spans="1:9" x14ac:dyDescent="0.3">
      <c r="A116" s="4" t="s">
        <v>15</v>
      </c>
      <c r="B116" s="4"/>
      <c r="C116" s="2">
        <f>IFERROR(VLOOKUP(A116,Urunler!A$2:E$201,2,FALSE),"")</f>
        <v>0</v>
      </c>
      <c r="D116" s="2">
        <f>IFERROR(VLOOKUP(A116,Urunler!A$2:E$201,3,FALSE),"")</f>
        <v>0</v>
      </c>
      <c r="E116" s="2" t="str">
        <f>IFERROR(VLOOKUP(A116,Urunler!A$2:E$201,4,FALSE),"")</f>
        <v/>
      </c>
      <c r="F116" s="2" t="str">
        <f t="shared" si="12"/>
        <v/>
      </c>
      <c r="G116" s="2" t="str">
        <f t="shared" si="13"/>
        <v/>
      </c>
      <c r="H116" s="2" t="str">
        <f t="shared" si="14"/>
        <v/>
      </c>
      <c r="I116" s="3" t="e">
        <f t="shared" si="15"/>
        <v>#VALUE!</v>
      </c>
    </row>
    <row r="117" spans="1:9" x14ac:dyDescent="0.3">
      <c r="A117" s="4" t="s">
        <v>15</v>
      </c>
      <c r="B117" s="4"/>
      <c r="C117" s="2">
        <f>IFERROR(VLOOKUP(A117,Urunler!A$2:E$201,2,FALSE),"")</f>
        <v>0</v>
      </c>
      <c r="D117" s="2">
        <f>IFERROR(VLOOKUP(A117,Urunler!A$2:E$201,3,FALSE),"")</f>
        <v>0</v>
      </c>
      <c r="E117" s="2" t="str">
        <f>IFERROR(VLOOKUP(A117,Urunler!A$2:E$201,4,FALSE),"")</f>
        <v/>
      </c>
      <c r="F117" s="2" t="str">
        <f t="shared" si="12"/>
        <v/>
      </c>
      <c r="G117" s="2" t="str">
        <f t="shared" si="13"/>
        <v/>
      </c>
      <c r="H117" s="2" t="str">
        <f t="shared" si="14"/>
        <v/>
      </c>
      <c r="I117" s="3" t="e">
        <f t="shared" si="15"/>
        <v>#VALUE!</v>
      </c>
    </row>
    <row r="118" spans="1:9" x14ac:dyDescent="0.3">
      <c r="A118" s="4" t="s">
        <v>15</v>
      </c>
      <c r="B118" s="4"/>
      <c r="C118" s="2">
        <f>IFERROR(VLOOKUP(A118,Urunler!A$2:E$201,2,FALSE),"")</f>
        <v>0</v>
      </c>
      <c r="D118" s="2">
        <f>IFERROR(VLOOKUP(A118,Urunler!A$2:E$201,3,FALSE),"")</f>
        <v>0</v>
      </c>
      <c r="E118" s="2" t="str">
        <f>IFERROR(VLOOKUP(A118,Urunler!A$2:E$201,4,FALSE),"")</f>
        <v/>
      </c>
      <c r="F118" s="2" t="str">
        <f t="shared" si="12"/>
        <v/>
      </c>
      <c r="G118" s="2" t="str">
        <f t="shared" si="13"/>
        <v/>
      </c>
      <c r="H118" s="2" t="str">
        <f t="shared" si="14"/>
        <v/>
      </c>
      <c r="I118" s="3" t="e">
        <f t="shared" si="15"/>
        <v>#VALUE!</v>
      </c>
    </row>
    <row r="119" spans="1:9" x14ac:dyDescent="0.3">
      <c r="A119" s="4" t="s">
        <v>15</v>
      </c>
      <c r="B119" s="4"/>
      <c r="C119" s="2">
        <f>IFERROR(VLOOKUP(A119,Urunler!A$2:E$201,2,FALSE),"")</f>
        <v>0</v>
      </c>
      <c r="D119" s="2">
        <f>IFERROR(VLOOKUP(A119,Urunler!A$2:E$201,3,FALSE),"")</f>
        <v>0</v>
      </c>
      <c r="E119" s="2" t="str">
        <f>IFERROR(VLOOKUP(A119,Urunler!A$2:E$201,4,FALSE),"")</f>
        <v/>
      </c>
      <c r="F119" s="2" t="str">
        <f t="shared" si="12"/>
        <v/>
      </c>
      <c r="G119" s="2" t="str">
        <f t="shared" si="13"/>
        <v/>
      </c>
      <c r="H119" s="2" t="str">
        <f t="shared" si="14"/>
        <v/>
      </c>
      <c r="I119" s="3" t="e">
        <f t="shared" si="15"/>
        <v>#VALUE!</v>
      </c>
    </row>
    <row r="120" spans="1:9" x14ac:dyDescent="0.3">
      <c r="A120" s="4" t="s">
        <v>15</v>
      </c>
      <c r="B120" s="4"/>
      <c r="C120" s="2">
        <f>IFERROR(VLOOKUP(A120,Urunler!A$2:E$201,2,FALSE),"")</f>
        <v>0</v>
      </c>
      <c r="D120" s="2">
        <f>IFERROR(VLOOKUP(A120,Urunler!A$2:E$201,3,FALSE),"")</f>
        <v>0</v>
      </c>
      <c r="E120" s="2" t="str">
        <f>IFERROR(VLOOKUP(A120,Urunler!A$2:E$201,4,FALSE),"")</f>
        <v/>
      </c>
      <c r="F120" s="2" t="str">
        <f t="shared" si="12"/>
        <v/>
      </c>
      <c r="G120" s="2" t="str">
        <f t="shared" si="13"/>
        <v/>
      </c>
      <c r="H120" s="2" t="str">
        <f t="shared" si="14"/>
        <v/>
      </c>
      <c r="I120" s="3" t="e">
        <f t="shared" si="15"/>
        <v>#VALUE!</v>
      </c>
    </row>
    <row r="121" spans="1:9" x14ac:dyDescent="0.3">
      <c r="A121" s="4" t="s">
        <v>15</v>
      </c>
      <c r="B121" s="4"/>
      <c r="C121" s="2">
        <f>IFERROR(VLOOKUP(A121,Urunler!A$2:E$201,2,FALSE),"")</f>
        <v>0</v>
      </c>
      <c r="D121" s="2">
        <f>IFERROR(VLOOKUP(A121,Urunler!A$2:E$201,3,FALSE),"")</f>
        <v>0</v>
      </c>
      <c r="E121" s="2" t="str">
        <f>IFERROR(VLOOKUP(A121,Urunler!A$2:E$201,4,FALSE),"")</f>
        <v/>
      </c>
      <c r="F121" s="2" t="str">
        <f t="shared" si="12"/>
        <v/>
      </c>
      <c r="G121" s="2" t="str">
        <f t="shared" si="13"/>
        <v/>
      </c>
      <c r="H121" s="2" t="str">
        <f t="shared" si="14"/>
        <v/>
      </c>
      <c r="I121" s="3" t="e">
        <f t="shared" si="15"/>
        <v>#VALUE!</v>
      </c>
    </row>
    <row r="122" spans="1:9" x14ac:dyDescent="0.3">
      <c r="A122" s="4" t="s">
        <v>15</v>
      </c>
      <c r="B122" s="4"/>
      <c r="C122" s="2">
        <f>IFERROR(VLOOKUP(A122,Urunler!A$2:E$201,2,FALSE),"")</f>
        <v>0</v>
      </c>
      <c r="D122" s="2">
        <f>IFERROR(VLOOKUP(A122,Urunler!A$2:E$201,3,FALSE),"")</f>
        <v>0</v>
      </c>
      <c r="E122" s="2" t="str">
        <f>IFERROR(VLOOKUP(A122,Urunler!A$2:E$201,4,FALSE),"")</f>
        <v/>
      </c>
      <c r="F122" s="2" t="str">
        <f t="shared" si="12"/>
        <v/>
      </c>
      <c r="G122" s="2" t="str">
        <f t="shared" si="13"/>
        <v/>
      </c>
      <c r="H122" s="2" t="str">
        <f t="shared" si="14"/>
        <v/>
      </c>
      <c r="I122" s="3" t="e">
        <f t="shared" si="15"/>
        <v>#VALUE!</v>
      </c>
    </row>
    <row r="123" spans="1:9" x14ac:dyDescent="0.3">
      <c r="A123" s="4" t="s">
        <v>15</v>
      </c>
      <c r="B123" s="4"/>
      <c r="C123" s="2">
        <f>IFERROR(VLOOKUP(A123,Urunler!A$2:E$201,2,FALSE),"")</f>
        <v>0</v>
      </c>
      <c r="D123" s="2">
        <f>IFERROR(VLOOKUP(A123,Urunler!A$2:E$201,3,FALSE),"")</f>
        <v>0</v>
      </c>
      <c r="E123" s="2" t="str">
        <f>IFERROR(VLOOKUP(A123,Urunler!A$2:E$201,4,FALSE),"")</f>
        <v/>
      </c>
      <c r="F123" s="2" t="str">
        <f t="shared" si="12"/>
        <v/>
      </c>
      <c r="G123" s="2" t="str">
        <f t="shared" si="13"/>
        <v/>
      </c>
      <c r="H123" s="2" t="str">
        <f t="shared" si="14"/>
        <v/>
      </c>
      <c r="I123" s="3" t="e">
        <f t="shared" si="15"/>
        <v>#VALUE!</v>
      </c>
    </row>
    <row r="124" spans="1:9" x14ac:dyDescent="0.3">
      <c r="A124" s="4" t="s">
        <v>15</v>
      </c>
      <c r="B124" s="4"/>
      <c r="C124" s="2">
        <f>IFERROR(VLOOKUP(A124,Urunler!A$2:E$201,2,FALSE),"")</f>
        <v>0</v>
      </c>
      <c r="D124" s="2">
        <f>IFERROR(VLOOKUP(A124,Urunler!A$2:E$201,3,FALSE),"")</f>
        <v>0</v>
      </c>
      <c r="E124" s="2" t="str">
        <f>IFERROR(VLOOKUP(A124,Urunler!A$2:E$201,4,FALSE),"")</f>
        <v/>
      </c>
      <c r="F124" s="2" t="str">
        <f t="shared" si="12"/>
        <v/>
      </c>
      <c r="G124" s="2" t="str">
        <f t="shared" si="13"/>
        <v/>
      </c>
      <c r="H124" s="2" t="str">
        <f t="shared" si="14"/>
        <v/>
      </c>
      <c r="I124" s="3" t="e">
        <f t="shared" si="15"/>
        <v>#VALUE!</v>
      </c>
    </row>
    <row r="125" spans="1:9" x14ac:dyDescent="0.3">
      <c r="A125" s="4" t="s">
        <v>15</v>
      </c>
      <c r="B125" s="4"/>
      <c r="C125" s="2">
        <f>IFERROR(VLOOKUP(A125,Urunler!A$2:E$201,2,FALSE),"")</f>
        <v>0</v>
      </c>
      <c r="D125" s="2">
        <f>IFERROR(VLOOKUP(A125,Urunler!A$2:E$201,3,FALSE),"")</f>
        <v>0</v>
      </c>
      <c r="E125" s="2" t="str">
        <f>IFERROR(VLOOKUP(A125,Urunler!A$2:E$201,4,FALSE),"")</f>
        <v/>
      </c>
      <c r="F125" s="2" t="str">
        <f t="shared" si="12"/>
        <v/>
      </c>
      <c r="G125" s="2" t="str">
        <f t="shared" si="13"/>
        <v/>
      </c>
      <c r="H125" s="2" t="str">
        <f t="shared" si="14"/>
        <v/>
      </c>
      <c r="I125" s="3" t="e">
        <f t="shared" si="15"/>
        <v>#VALUE!</v>
      </c>
    </row>
    <row r="126" spans="1:9" x14ac:dyDescent="0.3">
      <c r="A126" s="4" t="s">
        <v>15</v>
      </c>
      <c r="B126" s="4"/>
      <c r="C126" s="2">
        <f>IFERROR(VLOOKUP(A126,Urunler!A$2:E$201,2,FALSE),"")</f>
        <v>0</v>
      </c>
      <c r="D126" s="2">
        <f>IFERROR(VLOOKUP(A126,Urunler!A$2:E$201,3,FALSE),"")</f>
        <v>0</v>
      </c>
      <c r="E126" s="2" t="str">
        <f>IFERROR(VLOOKUP(A126,Urunler!A$2:E$201,4,FALSE),"")</f>
        <v/>
      </c>
      <c r="F126" s="2" t="str">
        <f t="shared" si="12"/>
        <v/>
      </c>
      <c r="G126" s="2" t="str">
        <f t="shared" si="13"/>
        <v/>
      </c>
      <c r="H126" s="2" t="str">
        <f t="shared" si="14"/>
        <v/>
      </c>
      <c r="I126" s="3" t="e">
        <f t="shared" si="15"/>
        <v>#VALUE!</v>
      </c>
    </row>
    <row r="127" spans="1:9" x14ac:dyDescent="0.3">
      <c r="A127" s="4" t="s">
        <v>15</v>
      </c>
      <c r="B127" s="4"/>
      <c r="C127" s="2">
        <f>IFERROR(VLOOKUP(A127,Urunler!A$2:E$201,2,FALSE),"")</f>
        <v>0</v>
      </c>
      <c r="D127" s="2">
        <f>IFERROR(VLOOKUP(A127,Urunler!A$2:E$201,3,FALSE),"")</f>
        <v>0</v>
      </c>
      <c r="E127" s="2" t="str">
        <f>IFERROR(VLOOKUP(A127,Urunler!A$2:E$201,4,FALSE),"")</f>
        <v/>
      </c>
      <c r="F127" s="2" t="str">
        <f t="shared" si="12"/>
        <v/>
      </c>
      <c r="G127" s="2" t="str">
        <f t="shared" si="13"/>
        <v/>
      </c>
      <c r="H127" s="2" t="str">
        <f t="shared" si="14"/>
        <v/>
      </c>
      <c r="I127" s="3" t="e">
        <f t="shared" si="15"/>
        <v>#VALUE!</v>
      </c>
    </row>
    <row r="128" spans="1:9" x14ac:dyDescent="0.3">
      <c r="A128" s="4" t="s">
        <v>15</v>
      </c>
      <c r="B128" s="4"/>
      <c r="C128" s="2">
        <f>IFERROR(VLOOKUP(A128,Urunler!A$2:E$201,2,FALSE),"")</f>
        <v>0</v>
      </c>
      <c r="D128" s="2">
        <f>IFERROR(VLOOKUP(A128,Urunler!A$2:E$201,3,FALSE),"")</f>
        <v>0</v>
      </c>
      <c r="E128" s="2" t="str">
        <f>IFERROR(VLOOKUP(A128,Urunler!A$2:E$201,4,FALSE),"")</f>
        <v/>
      </c>
      <c r="F128" s="2" t="str">
        <f t="shared" si="12"/>
        <v/>
      </c>
      <c r="G128" s="2" t="str">
        <f t="shared" si="13"/>
        <v/>
      </c>
      <c r="H128" s="2" t="str">
        <f t="shared" si="14"/>
        <v/>
      </c>
      <c r="I128" s="3" t="e">
        <f t="shared" si="15"/>
        <v>#VALUE!</v>
      </c>
    </row>
    <row r="129" spans="1:9" x14ac:dyDescent="0.3">
      <c r="A129" s="4" t="s">
        <v>15</v>
      </c>
      <c r="B129" s="4"/>
      <c r="C129" s="2">
        <f>IFERROR(VLOOKUP(A129,Urunler!A$2:E$201,2,FALSE),"")</f>
        <v>0</v>
      </c>
      <c r="D129" s="2">
        <f>IFERROR(VLOOKUP(A129,Urunler!A$2:E$201,3,FALSE),"")</f>
        <v>0</v>
      </c>
      <c r="E129" s="2" t="str">
        <f>IFERROR(VLOOKUP(A129,Urunler!A$2:E$201,4,FALSE),"")</f>
        <v/>
      </c>
      <c r="F129" s="2" t="str">
        <f t="shared" si="12"/>
        <v/>
      </c>
      <c r="G129" s="2" t="str">
        <f t="shared" si="13"/>
        <v/>
      </c>
      <c r="H129" s="2" t="str">
        <f t="shared" si="14"/>
        <v/>
      </c>
      <c r="I129" s="3" t="e">
        <f t="shared" si="15"/>
        <v>#VALUE!</v>
      </c>
    </row>
    <row r="130" spans="1:9" x14ac:dyDescent="0.3">
      <c r="A130" s="4" t="s">
        <v>15</v>
      </c>
      <c r="B130" s="4"/>
      <c r="C130" s="2">
        <f>IFERROR(VLOOKUP(A130,Urunler!A$2:E$201,2,FALSE),"")</f>
        <v>0</v>
      </c>
      <c r="D130" s="2">
        <f>IFERROR(VLOOKUP(A130,Urunler!A$2:E$201,3,FALSE),"")</f>
        <v>0</v>
      </c>
      <c r="E130" s="2" t="str">
        <f>IFERROR(VLOOKUP(A130,Urunler!A$2:E$201,4,FALSE),"")</f>
        <v/>
      </c>
      <c r="F130" s="2" t="str">
        <f t="shared" si="12"/>
        <v/>
      </c>
      <c r="G130" s="2" t="str">
        <f t="shared" si="13"/>
        <v/>
      </c>
      <c r="H130" s="2" t="str">
        <f t="shared" si="14"/>
        <v/>
      </c>
      <c r="I130" s="3" t="e">
        <f t="shared" si="15"/>
        <v>#VALUE!</v>
      </c>
    </row>
    <row r="131" spans="1:9" x14ac:dyDescent="0.3">
      <c r="A131" s="4" t="s">
        <v>15</v>
      </c>
      <c r="B131" s="4"/>
      <c r="C131" s="2">
        <f>IFERROR(VLOOKUP(A131,Urunler!A$2:E$201,2,FALSE),"")</f>
        <v>0</v>
      </c>
      <c r="D131" s="2">
        <f>IFERROR(VLOOKUP(A131,Urunler!A$2:E$201,3,FALSE),"")</f>
        <v>0</v>
      </c>
      <c r="E131" s="2" t="str">
        <f>IFERROR(VLOOKUP(A131,Urunler!A$2:E$201,4,FALSE),"")</f>
        <v/>
      </c>
      <c r="F131" s="2" t="str">
        <f t="shared" si="12"/>
        <v/>
      </c>
      <c r="G131" s="2" t="str">
        <f t="shared" si="13"/>
        <v/>
      </c>
      <c r="H131" s="2" t="str">
        <f t="shared" si="14"/>
        <v/>
      </c>
      <c r="I131" s="3" t="e">
        <f t="shared" si="15"/>
        <v>#VALUE!</v>
      </c>
    </row>
    <row r="132" spans="1:9" x14ac:dyDescent="0.3">
      <c r="A132" s="4" t="s">
        <v>15</v>
      </c>
      <c r="B132" s="4"/>
      <c r="C132" s="2">
        <f>IFERROR(VLOOKUP(A132,Urunler!A$2:E$201,2,FALSE),"")</f>
        <v>0</v>
      </c>
      <c r="D132" s="2">
        <f>IFERROR(VLOOKUP(A132,Urunler!A$2:E$201,3,FALSE),"")</f>
        <v>0</v>
      </c>
      <c r="E132" s="2" t="str">
        <f>IFERROR(VLOOKUP(A132,Urunler!A$2:E$201,4,FALSE),"")</f>
        <v/>
      </c>
      <c r="F132" s="2" t="str">
        <f t="shared" si="12"/>
        <v/>
      </c>
      <c r="G132" s="2" t="str">
        <f t="shared" si="13"/>
        <v/>
      </c>
      <c r="H132" s="2" t="str">
        <f t="shared" si="14"/>
        <v/>
      </c>
      <c r="I132" s="3" t="e">
        <f t="shared" si="15"/>
        <v>#VALUE!</v>
      </c>
    </row>
    <row r="133" spans="1:9" x14ac:dyDescent="0.3">
      <c r="A133" s="4" t="s">
        <v>15</v>
      </c>
      <c r="B133" s="4"/>
      <c r="C133" s="2">
        <f>IFERROR(VLOOKUP(A133,Urunler!A$2:E$201,2,FALSE),"")</f>
        <v>0</v>
      </c>
      <c r="D133" s="2">
        <f>IFERROR(VLOOKUP(A133,Urunler!A$2:E$201,3,FALSE),"")</f>
        <v>0</v>
      </c>
      <c r="E133" s="2" t="str">
        <f>IFERROR(VLOOKUP(A133,Urunler!A$2:E$201,4,FALSE),"")</f>
        <v/>
      </c>
      <c r="F133" s="2" t="str">
        <f t="shared" si="12"/>
        <v/>
      </c>
      <c r="G133" s="2" t="str">
        <f t="shared" si="13"/>
        <v/>
      </c>
      <c r="H133" s="2" t="str">
        <f t="shared" si="14"/>
        <v/>
      </c>
      <c r="I133" s="3" t="e">
        <f t="shared" si="15"/>
        <v>#VALUE!</v>
      </c>
    </row>
    <row r="134" spans="1:9" x14ac:dyDescent="0.3">
      <c r="A134" s="4" t="s">
        <v>15</v>
      </c>
      <c r="B134" s="4"/>
      <c r="C134" s="2">
        <f>IFERROR(VLOOKUP(A134,Urunler!A$2:E$201,2,FALSE),"")</f>
        <v>0</v>
      </c>
      <c r="D134" s="2">
        <f>IFERROR(VLOOKUP(A134,Urunler!A$2:E$201,3,FALSE),"")</f>
        <v>0</v>
      </c>
      <c r="E134" s="2" t="str">
        <f>IFERROR(VLOOKUP(A134,Urunler!A$2:E$201,4,FALSE),"")</f>
        <v/>
      </c>
      <c r="F134" s="2" t="str">
        <f t="shared" ref="F134:F165" si="16">IF(OR(B134="",C134=""),"",B134*C134)</f>
        <v/>
      </c>
      <c r="G134" s="2" t="str">
        <f t="shared" ref="G134:G165" si="17">IF(OR(B134="",D134=""),"",B134*D134)</f>
        <v/>
      </c>
      <c r="H134" s="2" t="str">
        <f t="shared" ref="H134:H165" si="18">IF(OR(B134="",E134=""),"",B134*E134)</f>
        <v/>
      </c>
      <c r="I134" s="3" t="e">
        <f t="shared" ref="I134:I165" si="19">IF(F134=0,"",H134/F134)</f>
        <v>#VALUE!</v>
      </c>
    </row>
    <row r="135" spans="1:9" x14ac:dyDescent="0.3">
      <c r="A135" s="4" t="s">
        <v>15</v>
      </c>
      <c r="B135" s="4"/>
      <c r="C135" s="2">
        <f>IFERROR(VLOOKUP(A135,Urunler!A$2:E$201,2,FALSE),"")</f>
        <v>0</v>
      </c>
      <c r="D135" s="2">
        <f>IFERROR(VLOOKUP(A135,Urunler!A$2:E$201,3,FALSE),"")</f>
        <v>0</v>
      </c>
      <c r="E135" s="2" t="str">
        <f>IFERROR(VLOOKUP(A135,Urunler!A$2:E$201,4,FALSE),"")</f>
        <v/>
      </c>
      <c r="F135" s="2" t="str">
        <f t="shared" si="16"/>
        <v/>
      </c>
      <c r="G135" s="2" t="str">
        <f t="shared" si="17"/>
        <v/>
      </c>
      <c r="H135" s="2" t="str">
        <f t="shared" si="18"/>
        <v/>
      </c>
      <c r="I135" s="3" t="e">
        <f t="shared" si="19"/>
        <v>#VALUE!</v>
      </c>
    </row>
    <row r="136" spans="1:9" x14ac:dyDescent="0.3">
      <c r="A136" s="4" t="s">
        <v>15</v>
      </c>
      <c r="B136" s="4"/>
      <c r="C136" s="2">
        <f>IFERROR(VLOOKUP(A136,Urunler!A$2:E$201,2,FALSE),"")</f>
        <v>0</v>
      </c>
      <c r="D136" s="2">
        <f>IFERROR(VLOOKUP(A136,Urunler!A$2:E$201,3,FALSE),"")</f>
        <v>0</v>
      </c>
      <c r="E136" s="2" t="str">
        <f>IFERROR(VLOOKUP(A136,Urunler!A$2:E$201,4,FALSE),"")</f>
        <v/>
      </c>
      <c r="F136" s="2" t="str">
        <f t="shared" si="16"/>
        <v/>
      </c>
      <c r="G136" s="2" t="str">
        <f t="shared" si="17"/>
        <v/>
      </c>
      <c r="H136" s="2" t="str">
        <f t="shared" si="18"/>
        <v/>
      </c>
      <c r="I136" s="3" t="e">
        <f t="shared" si="19"/>
        <v>#VALUE!</v>
      </c>
    </row>
    <row r="137" spans="1:9" x14ac:dyDescent="0.3">
      <c r="A137" s="4" t="s">
        <v>15</v>
      </c>
      <c r="B137" s="4"/>
      <c r="C137" s="2">
        <f>IFERROR(VLOOKUP(A137,Urunler!A$2:E$201,2,FALSE),"")</f>
        <v>0</v>
      </c>
      <c r="D137" s="2">
        <f>IFERROR(VLOOKUP(A137,Urunler!A$2:E$201,3,FALSE),"")</f>
        <v>0</v>
      </c>
      <c r="E137" s="2" t="str">
        <f>IFERROR(VLOOKUP(A137,Urunler!A$2:E$201,4,FALSE),"")</f>
        <v/>
      </c>
      <c r="F137" s="2" t="str">
        <f t="shared" si="16"/>
        <v/>
      </c>
      <c r="G137" s="2" t="str">
        <f t="shared" si="17"/>
        <v/>
      </c>
      <c r="H137" s="2" t="str">
        <f t="shared" si="18"/>
        <v/>
      </c>
      <c r="I137" s="3" t="e">
        <f t="shared" si="19"/>
        <v>#VALUE!</v>
      </c>
    </row>
    <row r="138" spans="1:9" x14ac:dyDescent="0.3">
      <c r="A138" s="4" t="s">
        <v>15</v>
      </c>
      <c r="B138" s="4"/>
      <c r="C138" s="2">
        <f>IFERROR(VLOOKUP(A138,Urunler!A$2:E$201,2,FALSE),"")</f>
        <v>0</v>
      </c>
      <c r="D138" s="2">
        <f>IFERROR(VLOOKUP(A138,Urunler!A$2:E$201,3,FALSE),"")</f>
        <v>0</v>
      </c>
      <c r="E138" s="2" t="str">
        <f>IFERROR(VLOOKUP(A138,Urunler!A$2:E$201,4,FALSE),"")</f>
        <v/>
      </c>
      <c r="F138" s="2" t="str">
        <f t="shared" si="16"/>
        <v/>
      </c>
      <c r="G138" s="2" t="str">
        <f t="shared" si="17"/>
        <v/>
      </c>
      <c r="H138" s="2" t="str">
        <f t="shared" si="18"/>
        <v/>
      </c>
      <c r="I138" s="3" t="e">
        <f t="shared" si="19"/>
        <v>#VALUE!</v>
      </c>
    </row>
    <row r="139" spans="1:9" x14ac:dyDescent="0.3">
      <c r="A139" s="4" t="s">
        <v>15</v>
      </c>
      <c r="B139" s="4"/>
      <c r="C139" s="2">
        <f>IFERROR(VLOOKUP(A139,Urunler!A$2:E$201,2,FALSE),"")</f>
        <v>0</v>
      </c>
      <c r="D139" s="2">
        <f>IFERROR(VLOOKUP(A139,Urunler!A$2:E$201,3,FALSE),"")</f>
        <v>0</v>
      </c>
      <c r="E139" s="2" t="str">
        <f>IFERROR(VLOOKUP(A139,Urunler!A$2:E$201,4,FALSE),"")</f>
        <v/>
      </c>
      <c r="F139" s="2" t="str">
        <f t="shared" si="16"/>
        <v/>
      </c>
      <c r="G139" s="2" t="str">
        <f t="shared" si="17"/>
        <v/>
      </c>
      <c r="H139" s="2" t="str">
        <f t="shared" si="18"/>
        <v/>
      </c>
      <c r="I139" s="3" t="e">
        <f t="shared" si="19"/>
        <v>#VALUE!</v>
      </c>
    </row>
    <row r="140" spans="1:9" x14ac:dyDescent="0.3">
      <c r="A140" s="4" t="s">
        <v>15</v>
      </c>
      <c r="B140" s="4"/>
      <c r="C140" s="2">
        <f>IFERROR(VLOOKUP(A140,Urunler!A$2:E$201,2,FALSE),"")</f>
        <v>0</v>
      </c>
      <c r="D140" s="2">
        <f>IFERROR(VLOOKUP(A140,Urunler!A$2:E$201,3,FALSE),"")</f>
        <v>0</v>
      </c>
      <c r="E140" s="2" t="str">
        <f>IFERROR(VLOOKUP(A140,Urunler!A$2:E$201,4,FALSE),"")</f>
        <v/>
      </c>
      <c r="F140" s="2" t="str">
        <f t="shared" si="16"/>
        <v/>
      </c>
      <c r="G140" s="2" t="str">
        <f t="shared" si="17"/>
        <v/>
      </c>
      <c r="H140" s="2" t="str">
        <f t="shared" si="18"/>
        <v/>
      </c>
      <c r="I140" s="3" t="e">
        <f t="shared" si="19"/>
        <v>#VALUE!</v>
      </c>
    </row>
    <row r="141" spans="1:9" x14ac:dyDescent="0.3">
      <c r="A141" s="4" t="s">
        <v>15</v>
      </c>
      <c r="B141" s="4"/>
      <c r="C141" s="2">
        <f>IFERROR(VLOOKUP(A141,Urunler!A$2:E$201,2,FALSE),"")</f>
        <v>0</v>
      </c>
      <c r="D141" s="2">
        <f>IFERROR(VLOOKUP(A141,Urunler!A$2:E$201,3,FALSE),"")</f>
        <v>0</v>
      </c>
      <c r="E141" s="2" t="str">
        <f>IFERROR(VLOOKUP(A141,Urunler!A$2:E$201,4,FALSE),"")</f>
        <v/>
      </c>
      <c r="F141" s="2" t="str">
        <f t="shared" si="16"/>
        <v/>
      </c>
      <c r="G141" s="2" t="str">
        <f t="shared" si="17"/>
        <v/>
      </c>
      <c r="H141" s="2" t="str">
        <f t="shared" si="18"/>
        <v/>
      </c>
      <c r="I141" s="3" t="e">
        <f t="shared" si="19"/>
        <v>#VALUE!</v>
      </c>
    </row>
    <row r="142" spans="1:9" x14ac:dyDescent="0.3">
      <c r="A142" s="4" t="s">
        <v>15</v>
      </c>
      <c r="B142" s="4"/>
      <c r="C142" s="2">
        <f>IFERROR(VLOOKUP(A142,Urunler!A$2:E$201,2,FALSE),"")</f>
        <v>0</v>
      </c>
      <c r="D142" s="2">
        <f>IFERROR(VLOOKUP(A142,Urunler!A$2:E$201,3,FALSE),"")</f>
        <v>0</v>
      </c>
      <c r="E142" s="2" t="str">
        <f>IFERROR(VLOOKUP(A142,Urunler!A$2:E$201,4,FALSE),"")</f>
        <v/>
      </c>
      <c r="F142" s="2" t="str">
        <f t="shared" si="16"/>
        <v/>
      </c>
      <c r="G142" s="2" t="str">
        <f t="shared" si="17"/>
        <v/>
      </c>
      <c r="H142" s="2" t="str">
        <f t="shared" si="18"/>
        <v/>
      </c>
      <c r="I142" s="3" t="e">
        <f t="shared" si="19"/>
        <v>#VALUE!</v>
      </c>
    </row>
    <row r="143" spans="1:9" x14ac:dyDescent="0.3">
      <c r="A143" s="4" t="s">
        <v>15</v>
      </c>
      <c r="B143" s="4"/>
      <c r="C143" s="2">
        <f>IFERROR(VLOOKUP(A143,Urunler!A$2:E$201,2,FALSE),"")</f>
        <v>0</v>
      </c>
      <c r="D143" s="2">
        <f>IFERROR(VLOOKUP(A143,Urunler!A$2:E$201,3,FALSE),"")</f>
        <v>0</v>
      </c>
      <c r="E143" s="2" t="str">
        <f>IFERROR(VLOOKUP(A143,Urunler!A$2:E$201,4,FALSE),"")</f>
        <v/>
      </c>
      <c r="F143" s="2" t="str">
        <f t="shared" si="16"/>
        <v/>
      </c>
      <c r="G143" s="2" t="str">
        <f t="shared" si="17"/>
        <v/>
      </c>
      <c r="H143" s="2" t="str">
        <f t="shared" si="18"/>
        <v/>
      </c>
      <c r="I143" s="3" t="e">
        <f t="shared" si="19"/>
        <v>#VALUE!</v>
      </c>
    </row>
    <row r="144" spans="1:9" x14ac:dyDescent="0.3">
      <c r="A144" s="4" t="s">
        <v>15</v>
      </c>
      <c r="B144" s="4"/>
      <c r="C144" s="2">
        <f>IFERROR(VLOOKUP(A144,Urunler!A$2:E$201,2,FALSE),"")</f>
        <v>0</v>
      </c>
      <c r="D144" s="2">
        <f>IFERROR(VLOOKUP(A144,Urunler!A$2:E$201,3,FALSE),"")</f>
        <v>0</v>
      </c>
      <c r="E144" s="2" t="str">
        <f>IFERROR(VLOOKUP(A144,Urunler!A$2:E$201,4,FALSE),"")</f>
        <v/>
      </c>
      <c r="F144" s="2" t="str">
        <f t="shared" si="16"/>
        <v/>
      </c>
      <c r="G144" s="2" t="str">
        <f t="shared" si="17"/>
        <v/>
      </c>
      <c r="H144" s="2" t="str">
        <f t="shared" si="18"/>
        <v/>
      </c>
      <c r="I144" s="3" t="e">
        <f t="shared" si="19"/>
        <v>#VALUE!</v>
      </c>
    </row>
    <row r="145" spans="1:9" x14ac:dyDescent="0.3">
      <c r="A145" s="4" t="s">
        <v>15</v>
      </c>
      <c r="B145" s="4"/>
      <c r="C145" s="2">
        <f>IFERROR(VLOOKUP(A145,Urunler!A$2:E$201,2,FALSE),"")</f>
        <v>0</v>
      </c>
      <c r="D145" s="2">
        <f>IFERROR(VLOOKUP(A145,Urunler!A$2:E$201,3,FALSE),"")</f>
        <v>0</v>
      </c>
      <c r="E145" s="2" t="str">
        <f>IFERROR(VLOOKUP(A145,Urunler!A$2:E$201,4,FALSE),"")</f>
        <v/>
      </c>
      <c r="F145" s="2" t="str">
        <f t="shared" si="16"/>
        <v/>
      </c>
      <c r="G145" s="2" t="str">
        <f t="shared" si="17"/>
        <v/>
      </c>
      <c r="H145" s="2" t="str">
        <f t="shared" si="18"/>
        <v/>
      </c>
      <c r="I145" s="3" t="e">
        <f t="shared" si="19"/>
        <v>#VALUE!</v>
      </c>
    </row>
    <row r="146" spans="1:9" x14ac:dyDescent="0.3">
      <c r="A146" s="4" t="s">
        <v>15</v>
      </c>
      <c r="B146" s="4"/>
      <c r="C146" s="2">
        <f>IFERROR(VLOOKUP(A146,Urunler!A$2:E$201,2,FALSE),"")</f>
        <v>0</v>
      </c>
      <c r="D146" s="2">
        <f>IFERROR(VLOOKUP(A146,Urunler!A$2:E$201,3,FALSE),"")</f>
        <v>0</v>
      </c>
      <c r="E146" s="2" t="str">
        <f>IFERROR(VLOOKUP(A146,Urunler!A$2:E$201,4,FALSE),"")</f>
        <v/>
      </c>
      <c r="F146" s="2" t="str">
        <f t="shared" si="16"/>
        <v/>
      </c>
      <c r="G146" s="2" t="str">
        <f t="shared" si="17"/>
        <v/>
      </c>
      <c r="H146" s="2" t="str">
        <f t="shared" si="18"/>
        <v/>
      </c>
      <c r="I146" s="3" t="e">
        <f t="shared" si="19"/>
        <v>#VALUE!</v>
      </c>
    </row>
    <row r="147" spans="1:9" x14ac:dyDescent="0.3">
      <c r="A147" s="4" t="s">
        <v>15</v>
      </c>
      <c r="B147" s="4"/>
      <c r="C147" s="2">
        <f>IFERROR(VLOOKUP(A147,Urunler!A$2:E$201,2,FALSE),"")</f>
        <v>0</v>
      </c>
      <c r="D147" s="2">
        <f>IFERROR(VLOOKUP(A147,Urunler!A$2:E$201,3,FALSE),"")</f>
        <v>0</v>
      </c>
      <c r="E147" s="2" t="str">
        <f>IFERROR(VLOOKUP(A147,Urunler!A$2:E$201,4,FALSE),"")</f>
        <v/>
      </c>
      <c r="F147" s="2" t="str">
        <f t="shared" si="16"/>
        <v/>
      </c>
      <c r="G147" s="2" t="str">
        <f t="shared" si="17"/>
        <v/>
      </c>
      <c r="H147" s="2" t="str">
        <f t="shared" si="18"/>
        <v/>
      </c>
      <c r="I147" s="3" t="e">
        <f t="shared" si="19"/>
        <v>#VALUE!</v>
      </c>
    </row>
    <row r="148" spans="1:9" x14ac:dyDescent="0.3">
      <c r="A148" s="4" t="s">
        <v>15</v>
      </c>
      <c r="B148" s="4"/>
      <c r="C148" s="2">
        <f>IFERROR(VLOOKUP(A148,Urunler!A$2:E$201,2,FALSE),"")</f>
        <v>0</v>
      </c>
      <c r="D148" s="2">
        <f>IFERROR(VLOOKUP(A148,Urunler!A$2:E$201,3,FALSE),"")</f>
        <v>0</v>
      </c>
      <c r="E148" s="2" t="str">
        <f>IFERROR(VLOOKUP(A148,Urunler!A$2:E$201,4,FALSE),"")</f>
        <v/>
      </c>
      <c r="F148" s="2" t="str">
        <f t="shared" si="16"/>
        <v/>
      </c>
      <c r="G148" s="2" t="str">
        <f t="shared" si="17"/>
        <v/>
      </c>
      <c r="H148" s="2" t="str">
        <f t="shared" si="18"/>
        <v/>
      </c>
      <c r="I148" s="3" t="e">
        <f t="shared" si="19"/>
        <v>#VALUE!</v>
      </c>
    </row>
    <row r="149" spans="1:9" x14ac:dyDescent="0.3">
      <c r="A149" s="4" t="s">
        <v>15</v>
      </c>
      <c r="B149" s="4"/>
      <c r="C149" s="2">
        <f>IFERROR(VLOOKUP(A149,Urunler!A$2:E$201,2,FALSE),"")</f>
        <v>0</v>
      </c>
      <c r="D149" s="2">
        <f>IFERROR(VLOOKUP(A149,Urunler!A$2:E$201,3,FALSE),"")</f>
        <v>0</v>
      </c>
      <c r="E149" s="2" t="str">
        <f>IFERROR(VLOOKUP(A149,Urunler!A$2:E$201,4,FALSE),"")</f>
        <v/>
      </c>
      <c r="F149" s="2" t="str">
        <f t="shared" si="16"/>
        <v/>
      </c>
      <c r="G149" s="2" t="str">
        <f t="shared" si="17"/>
        <v/>
      </c>
      <c r="H149" s="2" t="str">
        <f t="shared" si="18"/>
        <v/>
      </c>
      <c r="I149" s="3" t="e">
        <f t="shared" si="19"/>
        <v>#VALUE!</v>
      </c>
    </row>
    <row r="150" spans="1:9" x14ac:dyDescent="0.3">
      <c r="A150" s="4" t="s">
        <v>15</v>
      </c>
      <c r="B150" s="4"/>
      <c r="C150" s="2">
        <f>IFERROR(VLOOKUP(A150,Urunler!A$2:E$201,2,FALSE),"")</f>
        <v>0</v>
      </c>
      <c r="D150" s="2">
        <f>IFERROR(VLOOKUP(A150,Urunler!A$2:E$201,3,FALSE),"")</f>
        <v>0</v>
      </c>
      <c r="E150" s="2" t="str">
        <f>IFERROR(VLOOKUP(A150,Urunler!A$2:E$201,4,FALSE),"")</f>
        <v/>
      </c>
      <c r="F150" s="2" t="str">
        <f t="shared" si="16"/>
        <v/>
      </c>
      <c r="G150" s="2" t="str">
        <f t="shared" si="17"/>
        <v/>
      </c>
      <c r="H150" s="2" t="str">
        <f t="shared" si="18"/>
        <v/>
      </c>
      <c r="I150" s="3" t="e">
        <f t="shared" si="19"/>
        <v>#VALUE!</v>
      </c>
    </row>
    <row r="151" spans="1:9" x14ac:dyDescent="0.3">
      <c r="A151" s="4" t="s">
        <v>15</v>
      </c>
      <c r="B151" s="4"/>
      <c r="C151" s="2">
        <f>IFERROR(VLOOKUP(A151,Urunler!A$2:E$201,2,FALSE),"")</f>
        <v>0</v>
      </c>
      <c r="D151" s="2">
        <f>IFERROR(VLOOKUP(A151,Urunler!A$2:E$201,3,FALSE),"")</f>
        <v>0</v>
      </c>
      <c r="E151" s="2" t="str">
        <f>IFERROR(VLOOKUP(A151,Urunler!A$2:E$201,4,FALSE),"")</f>
        <v/>
      </c>
      <c r="F151" s="2" t="str">
        <f t="shared" si="16"/>
        <v/>
      </c>
      <c r="G151" s="2" t="str">
        <f t="shared" si="17"/>
        <v/>
      </c>
      <c r="H151" s="2" t="str">
        <f t="shared" si="18"/>
        <v/>
      </c>
      <c r="I151" s="3" t="e">
        <f t="shared" si="19"/>
        <v>#VALUE!</v>
      </c>
    </row>
    <row r="152" spans="1:9" x14ac:dyDescent="0.3">
      <c r="A152" s="4" t="s">
        <v>15</v>
      </c>
      <c r="B152" s="4"/>
      <c r="C152" s="2">
        <f>IFERROR(VLOOKUP(A152,Urunler!A$2:E$201,2,FALSE),"")</f>
        <v>0</v>
      </c>
      <c r="D152" s="2">
        <f>IFERROR(VLOOKUP(A152,Urunler!A$2:E$201,3,FALSE),"")</f>
        <v>0</v>
      </c>
      <c r="E152" s="2" t="str">
        <f>IFERROR(VLOOKUP(A152,Urunler!A$2:E$201,4,FALSE),"")</f>
        <v/>
      </c>
      <c r="F152" s="2" t="str">
        <f t="shared" si="16"/>
        <v/>
      </c>
      <c r="G152" s="2" t="str">
        <f t="shared" si="17"/>
        <v/>
      </c>
      <c r="H152" s="2" t="str">
        <f t="shared" si="18"/>
        <v/>
      </c>
      <c r="I152" s="3" t="e">
        <f t="shared" si="19"/>
        <v>#VALUE!</v>
      </c>
    </row>
    <row r="153" spans="1:9" x14ac:dyDescent="0.3">
      <c r="A153" s="4" t="s">
        <v>15</v>
      </c>
      <c r="B153" s="4"/>
      <c r="C153" s="2">
        <f>IFERROR(VLOOKUP(A153,Urunler!A$2:E$201,2,FALSE),"")</f>
        <v>0</v>
      </c>
      <c r="D153" s="2">
        <f>IFERROR(VLOOKUP(A153,Urunler!A$2:E$201,3,FALSE),"")</f>
        <v>0</v>
      </c>
      <c r="E153" s="2" t="str">
        <f>IFERROR(VLOOKUP(A153,Urunler!A$2:E$201,4,FALSE),"")</f>
        <v/>
      </c>
      <c r="F153" s="2" t="str">
        <f t="shared" si="16"/>
        <v/>
      </c>
      <c r="G153" s="2" t="str">
        <f t="shared" si="17"/>
        <v/>
      </c>
      <c r="H153" s="2" t="str">
        <f t="shared" si="18"/>
        <v/>
      </c>
      <c r="I153" s="3" t="e">
        <f t="shared" si="19"/>
        <v>#VALUE!</v>
      </c>
    </row>
    <row r="154" spans="1:9" x14ac:dyDescent="0.3">
      <c r="A154" s="4" t="s">
        <v>15</v>
      </c>
      <c r="B154" s="4"/>
      <c r="C154" s="2">
        <f>IFERROR(VLOOKUP(A154,Urunler!A$2:E$201,2,FALSE),"")</f>
        <v>0</v>
      </c>
      <c r="D154" s="2">
        <f>IFERROR(VLOOKUP(A154,Urunler!A$2:E$201,3,FALSE),"")</f>
        <v>0</v>
      </c>
      <c r="E154" s="2" t="str">
        <f>IFERROR(VLOOKUP(A154,Urunler!A$2:E$201,4,FALSE),"")</f>
        <v/>
      </c>
      <c r="F154" s="2" t="str">
        <f t="shared" si="16"/>
        <v/>
      </c>
      <c r="G154" s="2" t="str">
        <f t="shared" si="17"/>
        <v/>
      </c>
      <c r="H154" s="2" t="str">
        <f t="shared" si="18"/>
        <v/>
      </c>
      <c r="I154" s="3" t="e">
        <f t="shared" si="19"/>
        <v>#VALUE!</v>
      </c>
    </row>
    <row r="155" spans="1:9" x14ac:dyDescent="0.3">
      <c r="A155" s="4" t="s">
        <v>15</v>
      </c>
      <c r="B155" s="4"/>
      <c r="C155" s="2">
        <f>IFERROR(VLOOKUP(A155,Urunler!A$2:E$201,2,FALSE),"")</f>
        <v>0</v>
      </c>
      <c r="D155" s="2">
        <f>IFERROR(VLOOKUP(A155,Urunler!A$2:E$201,3,FALSE),"")</f>
        <v>0</v>
      </c>
      <c r="E155" s="2" t="str">
        <f>IFERROR(VLOOKUP(A155,Urunler!A$2:E$201,4,FALSE),"")</f>
        <v/>
      </c>
      <c r="F155" s="2" t="str">
        <f t="shared" si="16"/>
        <v/>
      </c>
      <c r="G155" s="2" t="str">
        <f t="shared" si="17"/>
        <v/>
      </c>
      <c r="H155" s="2" t="str">
        <f t="shared" si="18"/>
        <v/>
      </c>
      <c r="I155" s="3" t="e">
        <f t="shared" si="19"/>
        <v>#VALUE!</v>
      </c>
    </row>
    <row r="156" spans="1:9" x14ac:dyDescent="0.3">
      <c r="A156" s="4" t="s">
        <v>15</v>
      </c>
      <c r="B156" s="4"/>
      <c r="C156" s="2">
        <f>IFERROR(VLOOKUP(A156,Urunler!A$2:E$201,2,FALSE),"")</f>
        <v>0</v>
      </c>
      <c r="D156" s="2">
        <f>IFERROR(VLOOKUP(A156,Urunler!A$2:E$201,3,FALSE),"")</f>
        <v>0</v>
      </c>
      <c r="E156" s="2" t="str">
        <f>IFERROR(VLOOKUP(A156,Urunler!A$2:E$201,4,FALSE),"")</f>
        <v/>
      </c>
      <c r="F156" s="2" t="str">
        <f t="shared" si="16"/>
        <v/>
      </c>
      <c r="G156" s="2" t="str">
        <f t="shared" si="17"/>
        <v/>
      </c>
      <c r="H156" s="2" t="str">
        <f t="shared" si="18"/>
        <v/>
      </c>
      <c r="I156" s="3" t="e">
        <f t="shared" si="19"/>
        <v>#VALUE!</v>
      </c>
    </row>
    <row r="157" spans="1:9" x14ac:dyDescent="0.3">
      <c r="A157" s="4" t="s">
        <v>15</v>
      </c>
      <c r="B157" s="4"/>
      <c r="C157" s="2">
        <f>IFERROR(VLOOKUP(A157,Urunler!A$2:E$201,2,FALSE),"")</f>
        <v>0</v>
      </c>
      <c r="D157" s="2">
        <f>IFERROR(VLOOKUP(A157,Urunler!A$2:E$201,3,FALSE),"")</f>
        <v>0</v>
      </c>
      <c r="E157" s="2" t="str">
        <f>IFERROR(VLOOKUP(A157,Urunler!A$2:E$201,4,FALSE),"")</f>
        <v/>
      </c>
      <c r="F157" s="2" t="str">
        <f t="shared" si="16"/>
        <v/>
      </c>
      <c r="G157" s="2" t="str">
        <f t="shared" si="17"/>
        <v/>
      </c>
      <c r="H157" s="2" t="str">
        <f t="shared" si="18"/>
        <v/>
      </c>
      <c r="I157" s="3" t="e">
        <f t="shared" si="19"/>
        <v>#VALUE!</v>
      </c>
    </row>
    <row r="158" spans="1:9" x14ac:dyDescent="0.3">
      <c r="A158" s="4" t="s">
        <v>15</v>
      </c>
      <c r="B158" s="4"/>
      <c r="C158" s="2">
        <f>IFERROR(VLOOKUP(A158,Urunler!A$2:E$201,2,FALSE),"")</f>
        <v>0</v>
      </c>
      <c r="D158" s="2">
        <f>IFERROR(VLOOKUP(A158,Urunler!A$2:E$201,3,FALSE),"")</f>
        <v>0</v>
      </c>
      <c r="E158" s="2" t="str">
        <f>IFERROR(VLOOKUP(A158,Urunler!A$2:E$201,4,FALSE),"")</f>
        <v/>
      </c>
      <c r="F158" s="2" t="str">
        <f t="shared" si="16"/>
        <v/>
      </c>
      <c r="G158" s="2" t="str">
        <f t="shared" si="17"/>
        <v/>
      </c>
      <c r="H158" s="2" t="str">
        <f t="shared" si="18"/>
        <v/>
      </c>
      <c r="I158" s="3" t="e">
        <f t="shared" si="19"/>
        <v>#VALUE!</v>
      </c>
    </row>
    <row r="159" spans="1:9" x14ac:dyDescent="0.3">
      <c r="A159" s="4" t="s">
        <v>15</v>
      </c>
      <c r="B159" s="4"/>
      <c r="C159" s="2">
        <f>IFERROR(VLOOKUP(A159,Urunler!A$2:E$201,2,FALSE),"")</f>
        <v>0</v>
      </c>
      <c r="D159" s="2">
        <f>IFERROR(VLOOKUP(A159,Urunler!A$2:E$201,3,FALSE),"")</f>
        <v>0</v>
      </c>
      <c r="E159" s="2" t="str">
        <f>IFERROR(VLOOKUP(A159,Urunler!A$2:E$201,4,FALSE),"")</f>
        <v/>
      </c>
      <c r="F159" s="2" t="str">
        <f t="shared" si="16"/>
        <v/>
      </c>
      <c r="G159" s="2" t="str">
        <f t="shared" si="17"/>
        <v/>
      </c>
      <c r="H159" s="2" t="str">
        <f t="shared" si="18"/>
        <v/>
      </c>
      <c r="I159" s="3" t="e">
        <f t="shared" si="19"/>
        <v>#VALUE!</v>
      </c>
    </row>
    <row r="160" spans="1:9" x14ac:dyDescent="0.3">
      <c r="A160" s="4" t="s">
        <v>15</v>
      </c>
      <c r="B160" s="4"/>
      <c r="C160" s="2">
        <f>IFERROR(VLOOKUP(A160,Urunler!A$2:E$201,2,FALSE),"")</f>
        <v>0</v>
      </c>
      <c r="D160" s="2">
        <f>IFERROR(VLOOKUP(A160,Urunler!A$2:E$201,3,FALSE),"")</f>
        <v>0</v>
      </c>
      <c r="E160" s="2" t="str">
        <f>IFERROR(VLOOKUP(A160,Urunler!A$2:E$201,4,FALSE),"")</f>
        <v/>
      </c>
      <c r="F160" s="2" t="str">
        <f t="shared" si="16"/>
        <v/>
      </c>
      <c r="G160" s="2" t="str">
        <f t="shared" si="17"/>
        <v/>
      </c>
      <c r="H160" s="2" t="str">
        <f t="shared" si="18"/>
        <v/>
      </c>
      <c r="I160" s="3" t="e">
        <f t="shared" si="19"/>
        <v>#VALUE!</v>
      </c>
    </row>
    <row r="161" spans="1:9" x14ac:dyDescent="0.3">
      <c r="A161" s="4" t="s">
        <v>15</v>
      </c>
      <c r="B161" s="4"/>
      <c r="C161" s="2">
        <f>IFERROR(VLOOKUP(A161,Urunler!A$2:E$201,2,FALSE),"")</f>
        <v>0</v>
      </c>
      <c r="D161" s="2">
        <f>IFERROR(VLOOKUP(A161,Urunler!A$2:E$201,3,FALSE),"")</f>
        <v>0</v>
      </c>
      <c r="E161" s="2" t="str">
        <f>IFERROR(VLOOKUP(A161,Urunler!A$2:E$201,4,FALSE),"")</f>
        <v/>
      </c>
      <c r="F161" s="2" t="str">
        <f t="shared" si="16"/>
        <v/>
      </c>
      <c r="G161" s="2" t="str">
        <f t="shared" si="17"/>
        <v/>
      </c>
      <c r="H161" s="2" t="str">
        <f t="shared" si="18"/>
        <v/>
      </c>
      <c r="I161" s="3" t="e">
        <f t="shared" si="19"/>
        <v>#VALUE!</v>
      </c>
    </row>
    <row r="162" spans="1:9" x14ac:dyDescent="0.3">
      <c r="A162" s="4" t="s">
        <v>15</v>
      </c>
      <c r="B162" s="4"/>
      <c r="C162" s="2">
        <f>IFERROR(VLOOKUP(A162,Urunler!A$2:E$201,2,FALSE),"")</f>
        <v>0</v>
      </c>
      <c r="D162" s="2">
        <f>IFERROR(VLOOKUP(A162,Urunler!A$2:E$201,3,FALSE),"")</f>
        <v>0</v>
      </c>
      <c r="E162" s="2" t="str">
        <f>IFERROR(VLOOKUP(A162,Urunler!A$2:E$201,4,FALSE),"")</f>
        <v/>
      </c>
      <c r="F162" s="2" t="str">
        <f t="shared" si="16"/>
        <v/>
      </c>
      <c r="G162" s="2" t="str">
        <f t="shared" si="17"/>
        <v/>
      </c>
      <c r="H162" s="2" t="str">
        <f t="shared" si="18"/>
        <v/>
      </c>
      <c r="I162" s="3" t="e">
        <f t="shared" si="19"/>
        <v>#VALUE!</v>
      </c>
    </row>
    <row r="163" spans="1:9" x14ac:dyDescent="0.3">
      <c r="A163" s="4" t="s">
        <v>15</v>
      </c>
      <c r="B163" s="4"/>
      <c r="C163" s="2">
        <f>IFERROR(VLOOKUP(A163,Urunler!A$2:E$201,2,FALSE),"")</f>
        <v>0</v>
      </c>
      <c r="D163" s="2">
        <f>IFERROR(VLOOKUP(A163,Urunler!A$2:E$201,3,FALSE),"")</f>
        <v>0</v>
      </c>
      <c r="E163" s="2" t="str">
        <f>IFERROR(VLOOKUP(A163,Urunler!A$2:E$201,4,FALSE),"")</f>
        <v/>
      </c>
      <c r="F163" s="2" t="str">
        <f t="shared" si="16"/>
        <v/>
      </c>
      <c r="G163" s="2" t="str">
        <f t="shared" si="17"/>
        <v/>
      </c>
      <c r="H163" s="2" t="str">
        <f t="shared" si="18"/>
        <v/>
      </c>
      <c r="I163" s="3" t="e">
        <f t="shared" si="19"/>
        <v>#VALUE!</v>
      </c>
    </row>
    <row r="164" spans="1:9" x14ac:dyDescent="0.3">
      <c r="A164" s="4" t="s">
        <v>15</v>
      </c>
      <c r="B164" s="4"/>
      <c r="C164" s="2">
        <f>IFERROR(VLOOKUP(A164,Urunler!A$2:E$201,2,FALSE),"")</f>
        <v>0</v>
      </c>
      <c r="D164" s="2">
        <f>IFERROR(VLOOKUP(A164,Urunler!A$2:E$201,3,FALSE),"")</f>
        <v>0</v>
      </c>
      <c r="E164" s="2" t="str">
        <f>IFERROR(VLOOKUP(A164,Urunler!A$2:E$201,4,FALSE),"")</f>
        <v/>
      </c>
      <c r="F164" s="2" t="str">
        <f t="shared" si="16"/>
        <v/>
      </c>
      <c r="G164" s="2" t="str">
        <f t="shared" si="17"/>
        <v/>
      </c>
      <c r="H164" s="2" t="str">
        <f t="shared" si="18"/>
        <v/>
      </c>
      <c r="I164" s="3" t="e">
        <f t="shared" si="19"/>
        <v>#VALUE!</v>
      </c>
    </row>
    <row r="165" spans="1:9" x14ac:dyDescent="0.3">
      <c r="A165" s="4" t="s">
        <v>15</v>
      </c>
      <c r="B165" s="4"/>
      <c r="C165" s="2">
        <f>IFERROR(VLOOKUP(A165,Urunler!A$2:E$201,2,FALSE),"")</f>
        <v>0</v>
      </c>
      <c r="D165" s="2">
        <f>IFERROR(VLOOKUP(A165,Urunler!A$2:E$201,3,FALSE),"")</f>
        <v>0</v>
      </c>
      <c r="E165" s="2" t="str">
        <f>IFERROR(VLOOKUP(A165,Urunler!A$2:E$201,4,FALSE),"")</f>
        <v/>
      </c>
      <c r="F165" s="2" t="str">
        <f t="shared" si="16"/>
        <v/>
      </c>
      <c r="G165" s="2" t="str">
        <f t="shared" si="17"/>
        <v/>
      </c>
      <c r="H165" s="2" t="str">
        <f t="shared" si="18"/>
        <v/>
      </c>
      <c r="I165" s="3" t="e">
        <f t="shared" si="19"/>
        <v>#VALUE!</v>
      </c>
    </row>
    <row r="166" spans="1:9" x14ac:dyDescent="0.3">
      <c r="A166" s="4" t="s">
        <v>15</v>
      </c>
      <c r="B166" s="4"/>
      <c r="C166" s="2">
        <f>IFERROR(VLOOKUP(A166,Urunler!A$2:E$201,2,FALSE),"")</f>
        <v>0</v>
      </c>
      <c r="D166" s="2">
        <f>IFERROR(VLOOKUP(A166,Urunler!A$2:E$201,3,FALSE),"")</f>
        <v>0</v>
      </c>
      <c r="E166" s="2" t="str">
        <f>IFERROR(VLOOKUP(A166,Urunler!A$2:E$201,4,FALSE),"")</f>
        <v/>
      </c>
      <c r="F166" s="2" t="str">
        <f t="shared" ref="F166:F197" si="20">IF(OR(B166="",C166=""),"",B166*C166)</f>
        <v/>
      </c>
      <c r="G166" s="2" t="str">
        <f t="shared" ref="G166:G197" si="21">IF(OR(B166="",D166=""),"",B166*D166)</f>
        <v/>
      </c>
      <c r="H166" s="2" t="str">
        <f t="shared" ref="H166:H197" si="22">IF(OR(B166="",E166=""),"",B166*E166)</f>
        <v/>
      </c>
      <c r="I166" s="3" t="e">
        <f t="shared" ref="I166:I197" si="23">IF(F166=0,"",H166/F166)</f>
        <v>#VALUE!</v>
      </c>
    </row>
    <row r="167" spans="1:9" x14ac:dyDescent="0.3">
      <c r="A167" s="4" t="s">
        <v>15</v>
      </c>
      <c r="B167" s="4"/>
      <c r="C167" s="2">
        <f>IFERROR(VLOOKUP(A167,Urunler!A$2:E$201,2,FALSE),"")</f>
        <v>0</v>
      </c>
      <c r="D167" s="2">
        <f>IFERROR(VLOOKUP(A167,Urunler!A$2:E$201,3,FALSE),"")</f>
        <v>0</v>
      </c>
      <c r="E167" s="2" t="str">
        <f>IFERROR(VLOOKUP(A167,Urunler!A$2:E$201,4,FALSE),"")</f>
        <v/>
      </c>
      <c r="F167" s="2" t="str">
        <f t="shared" si="20"/>
        <v/>
      </c>
      <c r="G167" s="2" t="str">
        <f t="shared" si="21"/>
        <v/>
      </c>
      <c r="H167" s="2" t="str">
        <f t="shared" si="22"/>
        <v/>
      </c>
      <c r="I167" s="3" t="e">
        <f t="shared" si="23"/>
        <v>#VALUE!</v>
      </c>
    </row>
    <row r="168" spans="1:9" x14ac:dyDescent="0.3">
      <c r="A168" s="4" t="s">
        <v>15</v>
      </c>
      <c r="B168" s="4"/>
      <c r="C168" s="2">
        <f>IFERROR(VLOOKUP(A168,Urunler!A$2:E$201,2,FALSE),"")</f>
        <v>0</v>
      </c>
      <c r="D168" s="2">
        <f>IFERROR(VLOOKUP(A168,Urunler!A$2:E$201,3,FALSE),"")</f>
        <v>0</v>
      </c>
      <c r="E168" s="2" t="str">
        <f>IFERROR(VLOOKUP(A168,Urunler!A$2:E$201,4,FALSE),"")</f>
        <v/>
      </c>
      <c r="F168" s="2" t="str">
        <f t="shared" si="20"/>
        <v/>
      </c>
      <c r="G168" s="2" t="str">
        <f t="shared" si="21"/>
        <v/>
      </c>
      <c r="H168" s="2" t="str">
        <f t="shared" si="22"/>
        <v/>
      </c>
      <c r="I168" s="3" t="e">
        <f t="shared" si="23"/>
        <v>#VALUE!</v>
      </c>
    </row>
    <row r="169" spans="1:9" x14ac:dyDescent="0.3">
      <c r="A169" s="4" t="s">
        <v>15</v>
      </c>
      <c r="B169" s="4"/>
      <c r="C169" s="2">
        <f>IFERROR(VLOOKUP(A169,Urunler!A$2:E$201,2,FALSE),"")</f>
        <v>0</v>
      </c>
      <c r="D169" s="2">
        <f>IFERROR(VLOOKUP(A169,Urunler!A$2:E$201,3,FALSE),"")</f>
        <v>0</v>
      </c>
      <c r="E169" s="2" t="str">
        <f>IFERROR(VLOOKUP(A169,Urunler!A$2:E$201,4,FALSE),"")</f>
        <v/>
      </c>
      <c r="F169" s="2" t="str">
        <f t="shared" si="20"/>
        <v/>
      </c>
      <c r="G169" s="2" t="str">
        <f t="shared" si="21"/>
        <v/>
      </c>
      <c r="H169" s="2" t="str">
        <f t="shared" si="22"/>
        <v/>
      </c>
      <c r="I169" s="3" t="e">
        <f t="shared" si="23"/>
        <v>#VALUE!</v>
      </c>
    </row>
    <row r="170" spans="1:9" x14ac:dyDescent="0.3">
      <c r="A170" s="4" t="s">
        <v>15</v>
      </c>
      <c r="B170" s="4"/>
      <c r="C170" s="2">
        <f>IFERROR(VLOOKUP(A170,Urunler!A$2:E$201,2,FALSE),"")</f>
        <v>0</v>
      </c>
      <c r="D170" s="2">
        <f>IFERROR(VLOOKUP(A170,Urunler!A$2:E$201,3,FALSE),"")</f>
        <v>0</v>
      </c>
      <c r="E170" s="2" t="str">
        <f>IFERROR(VLOOKUP(A170,Urunler!A$2:E$201,4,FALSE),"")</f>
        <v/>
      </c>
      <c r="F170" s="2" t="str">
        <f t="shared" si="20"/>
        <v/>
      </c>
      <c r="G170" s="2" t="str">
        <f t="shared" si="21"/>
        <v/>
      </c>
      <c r="H170" s="2" t="str">
        <f t="shared" si="22"/>
        <v/>
      </c>
      <c r="I170" s="3" t="e">
        <f t="shared" si="23"/>
        <v>#VALUE!</v>
      </c>
    </row>
    <row r="171" spans="1:9" x14ac:dyDescent="0.3">
      <c r="A171" s="4" t="s">
        <v>15</v>
      </c>
      <c r="B171" s="4"/>
      <c r="C171" s="2">
        <f>IFERROR(VLOOKUP(A171,Urunler!A$2:E$201,2,FALSE),"")</f>
        <v>0</v>
      </c>
      <c r="D171" s="2">
        <f>IFERROR(VLOOKUP(A171,Urunler!A$2:E$201,3,FALSE),"")</f>
        <v>0</v>
      </c>
      <c r="E171" s="2" t="str">
        <f>IFERROR(VLOOKUP(A171,Urunler!A$2:E$201,4,FALSE),"")</f>
        <v/>
      </c>
      <c r="F171" s="2" t="str">
        <f t="shared" si="20"/>
        <v/>
      </c>
      <c r="G171" s="2" t="str">
        <f t="shared" si="21"/>
        <v/>
      </c>
      <c r="H171" s="2" t="str">
        <f t="shared" si="22"/>
        <v/>
      </c>
      <c r="I171" s="3" t="e">
        <f t="shared" si="23"/>
        <v>#VALUE!</v>
      </c>
    </row>
    <row r="172" spans="1:9" x14ac:dyDescent="0.3">
      <c r="A172" s="4" t="s">
        <v>15</v>
      </c>
      <c r="B172" s="4"/>
      <c r="C172" s="2">
        <f>IFERROR(VLOOKUP(A172,Urunler!A$2:E$201,2,FALSE),"")</f>
        <v>0</v>
      </c>
      <c r="D172" s="2">
        <f>IFERROR(VLOOKUP(A172,Urunler!A$2:E$201,3,FALSE),"")</f>
        <v>0</v>
      </c>
      <c r="E172" s="2" t="str">
        <f>IFERROR(VLOOKUP(A172,Urunler!A$2:E$201,4,FALSE),"")</f>
        <v/>
      </c>
      <c r="F172" s="2" t="str">
        <f t="shared" si="20"/>
        <v/>
      </c>
      <c r="G172" s="2" t="str">
        <f t="shared" si="21"/>
        <v/>
      </c>
      <c r="H172" s="2" t="str">
        <f t="shared" si="22"/>
        <v/>
      </c>
      <c r="I172" s="3" t="e">
        <f t="shared" si="23"/>
        <v>#VALUE!</v>
      </c>
    </row>
    <row r="173" spans="1:9" x14ac:dyDescent="0.3">
      <c r="A173" s="4" t="s">
        <v>15</v>
      </c>
      <c r="B173" s="4"/>
      <c r="C173" s="2">
        <f>IFERROR(VLOOKUP(A173,Urunler!A$2:E$201,2,FALSE),"")</f>
        <v>0</v>
      </c>
      <c r="D173" s="2">
        <f>IFERROR(VLOOKUP(A173,Urunler!A$2:E$201,3,FALSE),"")</f>
        <v>0</v>
      </c>
      <c r="E173" s="2" t="str">
        <f>IFERROR(VLOOKUP(A173,Urunler!A$2:E$201,4,FALSE),"")</f>
        <v/>
      </c>
      <c r="F173" s="2" t="str">
        <f t="shared" si="20"/>
        <v/>
      </c>
      <c r="G173" s="2" t="str">
        <f t="shared" si="21"/>
        <v/>
      </c>
      <c r="H173" s="2" t="str">
        <f t="shared" si="22"/>
        <v/>
      </c>
      <c r="I173" s="3" t="e">
        <f t="shared" si="23"/>
        <v>#VALUE!</v>
      </c>
    </row>
    <row r="174" spans="1:9" x14ac:dyDescent="0.3">
      <c r="A174" s="4" t="s">
        <v>15</v>
      </c>
      <c r="B174" s="4"/>
      <c r="C174" s="2">
        <f>IFERROR(VLOOKUP(A174,Urunler!A$2:E$201,2,FALSE),"")</f>
        <v>0</v>
      </c>
      <c r="D174" s="2">
        <f>IFERROR(VLOOKUP(A174,Urunler!A$2:E$201,3,FALSE),"")</f>
        <v>0</v>
      </c>
      <c r="E174" s="2" t="str">
        <f>IFERROR(VLOOKUP(A174,Urunler!A$2:E$201,4,FALSE),"")</f>
        <v/>
      </c>
      <c r="F174" s="2" t="str">
        <f t="shared" si="20"/>
        <v/>
      </c>
      <c r="G174" s="2" t="str">
        <f t="shared" si="21"/>
        <v/>
      </c>
      <c r="H174" s="2" t="str">
        <f t="shared" si="22"/>
        <v/>
      </c>
      <c r="I174" s="3" t="e">
        <f t="shared" si="23"/>
        <v>#VALUE!</v>
      </c>
    </row>
    <row r="175" spans="1:9" x14ac:dyDescent="0.3">
      <c r="A175" s="4" t="s">
        <v>15</v>
      </c>
      <c r="B175" s="4"/>
      <c r="C175" s="2">
        <f>IFERROR(VLOOKUP(A175,Urunler!A$2:E$201,2,FALSE),"")</f>
        <v>0</v>
      </c>
      <c r="D175" s="2">
        <f>IFERROR(VLOOKUP(A175,Urunler!A$2:E$201,3,FALSE),"")</f>
        <v>0</v>
      </c>
      <c r="E175" s="2" t="str">
        <f>IFERROR(VLOOKUP(A175,Urunler!A$2:E$201,4,FALSE),"")</f>
        <v/>
      </c>
      <c r="F175" s="2" t="str">
        <f t="shared" si="20"/>
        <v/>
      </c>
      <c r="G175" s="2" t="str">
        <f t="shared" si="21"/>
        <v/>
      </c>
      <c r="H175" s="2" t="str">
        <f t="shared" si="22"/>
        <v/>
      </c>
      <c r="I175" s="3" t="e">
        <f t="shared" si="23"/>
        <v>#VALUE!</v>
      </c>
    </row>
    <row r="176" spans="1:9" x14ac:dyDescent="0.3">
      <c r="A176" s="4" t="s">
        <v>15</v>
      </c>
      <c r="B176" s="4"/>
      <c r="C176" s="2">
        <f>IFERROR(VLOOKUP(A176,Urunler!A$2:E$201,2,FALSE),"")</f>
        <v>0</v>
      </c>
      <c r="D176" s="2">
        <f>IFERROR(VLOOKUP(A176,Urunler!A$2:E$201,3,FALSE),"")</f>
        <v>0</v>
      </c>
      <c r="E176" s="2" t="str">
        <f>IFERROR(VLOOKUP(A176,Urunler!A$2:E$201,4,FALSE),"")</f>
        <v/>
      </c>
      <c r="F176" s="2" t="str">
        <f t="shared" si="20"/>
        <v/>
      </c>
      <c r="G176" s="2" t="str">
        <f t="shared" si="21"/>
        <v/>
      </c>
      <c r="H176" s="2" t="str">
        <f t="shared" si="22"/>
        <v/>
      </c>
      <c r="I176" s="3" t="e">
        <f t="shared" si="23"/>
        <v>#VALUE!</v>
      </c>
    </row>
    <row r="177" spans="1:9" x14ac:dyDescent="0.3">
      <c r="A177" s="4" t="s">
        <v>15</v>
      </c>
      <c r="B177" s="4"/>
      <c r="C177" s="2">
        <f>IFERROR(VLOOKUP(A177,Urunler!A$2:E$201,2,FALSE),"")</f>
        <v>0</v>
      </c>
      <c r="D177" s="2">
        <f>IFERROR(VLOOKUP(A177,Urunler!A$2:E$201,3,FALSE),"")</f>
        <v>0</v>
      </c>
      <c r="E177" s="2" t="str">
        <f>IFERROR(VLOOKUP(A177,Urunler!A$2:E$201,4,FALSE),"")</f>
        <v/>
      </c>
      <c r="F177" s="2" t="str">
        <f t="shared" si="20"/>
        <v/>
      </c>
      <c r="G177" s="2" t="str">
        <f t="shared" si="21"/>
        <v/>
      </c>
      <c r="H177" s="2" t="str">
        <f t="shared" si="22"/>
        <v/>
      </c>
      <c r="I177" s="3" t="e">
        <f t="shared" si="23"/>
        <v>#VALUE!</v>
      </c>
    </row>
    <row r="178" spans="1:9" x14ac:dyDescent="0.3">
      <c r="A178" s="4" t="s">
        <v>15</v>
      </c>
      <c r="B178" s="4"/>
      <c r="C178" s="2">
        <f>IFERROR(VLOOKUP(A178,Urunler!A$2:E$201,2,FALSE),"")</f>
        <v>0</v>
      </c>
      <c r="D178" s="2">
        <f>IFERROR(VLOOKUP(A178,Urunler!A$2:E$201,3,FALSE),"")</f>
        <v>0</v>
      </c>
      <c r="E178" s="2" t="str">
        <f>IFERROR(VLOOKUP(A178,Urunler!A$2:E$201,4,FALSE),"")</f>
        <v/>
      </c>
      <c r="F178" s="2" t="str">
        <f t="shared" si="20"/>
        <v/>
      </c>
      <c r="G178" s="2" t="str">
        <f t="shared" si="21"/>
        <v/>
      </c>
      <c r="H178" s="2" t="str">
        <f t="shared" si="22"/>
        <v/>
      </c>
      <c r="I178" s="3" t="e">
        <f t="shared" si="23"/>
        <v>#VALUE!</v>
      </c>
    </row>
    <row r="179" spans="1:9" x14ac:dyDescent="0.3">
      <c r="A179" s="4" t="s">
        <v>15</v>
      </c>
      <c r="B179" s="4"/>
      <c r="C179" s="2">
        <f>IFERROR(VLOOKUP(A179,Urunler!A$2:E$201,2,FALSE),"")</f>
        <v>0</v>
      </c>
      <c r="D179" s="2">
        <f>IFERROR(VLOOKUP(A179,Urunler!A$2:E$201,3,FALSE),"")</f>
        <v>0</v>
      </c>
      <c r="E179" s="2" t="str">
        <f>IFERROR(VLOOKUP(A179,Urunler!A$2:E$201,4,FALSE),"")</f>
        <v/>
      </c>
      <c r="F179" s="2" t="str">
        <f t="shared" si="20"/>
        <v/>
      </c>
      <c r="G179" s="2" t="str">
        <f t="shared" si="21"/>
        <v/>
      </c>
      <c r="H179" s="2" t="str">
        <f t="shared" si="22"/>
        <v/>
      </c>
      <c r="I179" s="3" t="e">
        <f t="shared" si="23"/>
        <v>#VALUE!</v>
      </c>
    </row>
    <row r="180" spans="1:9" x14ac:dyDescent="0.3">
      <c r="A180" s="4" t="s">
        <v>15</v>
      </c>
      <c r="B180" s="4"/>
      <c r="C180" s="2">
        <f>IFERROR(VLOOKUP(A180,Urunler!A$2:E$201,2,FALSE),"")</f>
        <v>0</v>
      </c>
      <c r="D180" s="2">
        <f>IFERROR(VLOOKUP(A180,Urunler!A$2:E$201,3,FALSE),"")</f>
        <v>0</v>
      </c>
      <c r="E180" s="2" t="str">
        <f>IFERROR(VLOOKUP(A180,Urunler!A$2:E$201,4,FALSE),"")</f>
        <v/>
      </c>
      <c r="F180" s="2" t="str">
        <f t="shared" si="20"/>
        <v/>
      </c>
      <c r="G180" s="2" t="str">
        <f t="shared" si="21"/>
        <v/>
      </c>
      <c r="H180" s="2" t="str">
        <f t="shared" si="22"/>
        <v/>
      </c>
      <c r="I180" s="3" t="e">
        <f t="shared" si="23"/>
        <v>#VALUE!</v>
      </c>
    </row>
    <row r="181" spans="1:9" x14ac:dyDescent="0.3">
      <c r="A181" s="4" t="s">
        <v>15</v>
      </c>
      <c r="B181" s="4"/>
      <c r="C181" s="2">
        <f>IFERROR(VLOOKUP(A181,Urunler!A$2:E$201,2,FALSE),"")</f>
        <v>0</v>
      </c>
      <c r="D181" s="2">
        <f>IFERROR(VLOOKUP(A181,Urunler!A$2:E$201,3,FALSE),"")</f>
        <v>0</v>
      </c>
      <c r="E181" s="2" t="str">
        <f>IFERROR(VLOOKUP(A181,Urunler!A$2:E$201,4,FALSE),"")</f>
        <v/>
      </c>
      <c r="F181" s="2" t="str">
        <f t="shared" si="20"/>
        <v/>
      </c>
      <c r="G181" s="2" t="str">
        <f t="shared" si="21"/>
        <v/>
      </c>
      <c r="H181" s="2" t="str">
        <f t="shared" si="22"/>
        <v/>
      </c>
      <c r="I181" s="3" t="e">
        <f t="shared" si="23"/>
        <v>#VALUE!</v>
      </c>
    </row>
    <row r="182" spans="1:9" x14ac:dyDescent="0.3">
      <c r="A182" s="4" t="s">
        <v>15</v>
      </c>
      <c r="B182" s="4"/>
      <c r="C182" s="2">
        <f>IFERROR(VLOOKUP(A182,Urunler!A$2:E$201,2,FALSE),"")</f>
        <v>0</v>
      </c>
      <c r="D182" s="2">
        <f>IFERROR(VLOOKUP(A182,Urunler!A$2:E$201,3,FALSE),"")</f>
        <v>0</v>
      </c>
      <c r="E182" s="2" t="str">
        <f>IFERROR(VLOOKUP(A182,Urunler!A$2:E$201,4,FALSE),"")</f>
        <v/>
      </c>
      <c r="F182" s="2" t="str">
        <f t="shared" si="20"/>
        <v/>
      </c>
      <c r="G182" s="2" t="str">
        <f t="shared" si="21"/>
        <v/>
      </c>
      <c r="H182" s="2" t="str">
        <f t="shared" si="22"/>
        <v/>
      </c>
      <c r="I182" s="3" t="e">
        <f t="shared" si="23"/>
        <v>#VALUE!</v>
      </c>
    </row>
    <row r="183" spans="1:9" x14ac:dyDescent="0.3">
      <c r="A183" s="4" t="s">
        <v>15</v>
      </c>
      <c r="B183" s="4"/>
      <c r="C183" s="2">
        <f>IFERROR(VLOOKUP(A183,Urunler!A$2:E$201,2,FALSE),"")</f>
        <v>0</v>
      </c>
      <c r="D183" s="2">
        <f>IFERROR(VLOOKUP(A183,Urunler!A$2:E$201,3,FALSE),"")</f>
        <v>0</v>
      </c>
      <c r="E183" s="2" t="str">
        <f>IFERROR(VLOOKUP(A183,Urunler!A$2:E$201,4,FALSE),"")</f>
        <v/>
      </c>
      <c r="F183" s="2" t="str">
        <f t="shared" si="20"/>
        <v/>
      </c>
      <c r="G183" s="2" t="str">
        <f t="shared" si="21"/>
        <v/>
      </c>
      <c r="H183" s="2" t="str">
        <f t="shared" si="22"/>
        <v/>
      </c>
      <c r="I183" s="3" t="e">
        <f t="shared" si="23"/>
        <v>#VALUE!</v>
      </c>
    </row>
    <row r="184" spans="1:9" x14ac:dyDescent="0.3">
      <c r="A184" s="4" t="s">
        <v>15</v>
      </c>
      <c r="B184" s="4"/>
      <c r="C184" s="2">
        <f>IFERROR(VLOOKUP(A184,Urunler!A$2:E$201,2,FALSE),"")</f>
        <v>0</v>
      </c>
      <c r="D184" s="2">
        <f>IFERROR(VLOOKUP(A184,Urunler!A$2:E$201,3,FALSE),"")</f>
        <v>0</v>
      </c>
      <c r="E184" s="2" t="str">
        <f>IFERROR(VLOOKUP(A184,Urunler!A$2:E$201,4,FALSE),"")</f>
        <v/>
      </c>
      <c r="F184" s="2" t="str">
        <f t="shared" si="20"/>
        <v/>
      </c>
      <c r="G184" s="2" t="str">
        <f t="shared" si="21"/>
        <v/>
      </c>
      <c r="H184" s="2" t="str">
        <f t="shared" si="22"/>
        <v/>
      </c>
      <c r="I184" s="3" t="e">
        <f t="shared" si="23"/>
        <v>#VALUE!</v>
      </c>
    </row>
    <row r="185" spans="1:9" x14ac:dyDescent="0.3">
      <c r="A185" s="4" t="s">
        <v>15</v>
      </c>
      <c r="B185" s="4"/>
      <c r="C185" s="2">
        <f>IFERROR(VLOOKUP(A185,Urunler!A$2:E$201,2,FALSE),"")</f>
        <v>0</v>
      </c>
      <c r="D185" s="2">
        <f>IFERROR(VLOOKUP(A185,Urunler!A$2:E$201,3,FALSE),"")</f>
        <v>0</v>
      </c>
      <c r="E185" s="2" t="str">
        <f>IFERROR(VLOOKUP(A185,Urunler!A$2:E$201,4,FALSE),"")</f>
        <v/>
      </c>
      <c r="F185" s="2" t="str">
        <f t="shared" si="20"/>
        <v/>
      </c>
      <c r="G185" s="2" t="str">
        <f t="shared" si="21"/>
        <v/>
      </c>
      <c r="H185" s="2" t="str">
        <f t="shared" si="22"/>
        <v/>
      </c>
      <c r="I185" s="3" t="e">
        <f t="shared" si="23"/>
        <v>#VALUE!</v>
      </c>
    </row>
    <row r="186" spans="1:9" x14ac:dyDescent="0.3">
      <c r="A186" s="4" t="s">
        <v>15</v>
      </c>
      <c r="B186" s="4"/>
      <c r="C186" s="2">
        <f>IFERROR(VLOOKUP(A186,Urunler!A$2:E$201,2,FALSE),"")</f>
        <v>0</v>
      </c>
      <c r="D186" s="2">
        <f>IFERROR(VLOOKUP(A186,Urunler!A$2:E$201,3,FALSE),"")</f>
        <v>0</v>
      </c>
      <c r="E186" s="2" t="str">
        <f>IFERROR(VLOOKUP(A186,Urunler!A$2:E$201,4,FALSE),"")</f>
        <v/>
      </c>
      <c r="F186" s="2" t="str">
        <f t="shared" si="20"/>
        <v/>
      </c>
      <c r="G186" s="2" t="str">
        <f t="shared" si="21"/>
        <v/>
      </c>
      <c r="H186" s="2" t="str">
        <f t="shared" si="22"/>
        <v/>
      </c>
      <c r="I186" s="3" t="e">
        <f t="shared" si="23"/>
        <v>#VALUE!</v>
      </c>
    </row>
    <row r="187" spans="1:9" x14ac:dyDescent="0.3">
      <c r="A187" s="4" t="s">
        <v>15</v>
      </c>
      <c r="B187" s="4"/>
      <c r="C187" s="2">
        <f>IFERROR(VLOOKUP(A187,Urunler!A$2:E$201,2,FALSE),"")</f>
        <v>0</v>
      </c>
      <c r="D187" s="2">
        <f>IFERROR(VLOOKUP(A187,Urunler!A$2:E$201,3,FALSE),"")</f>
        <v>0</v>
      </c>
      <c r="E187" s="2" t="str">
        <f>IFERROR(VLOOKUP(A187,Urunler!A$2:E$201,4,FALSE),"")</f>
        <v/>
      </c>
      <c r="F187" s="2" t="str">
        <f t="shared" si="20"/>
        <v/>
      </c>
      <c r="G187" s="2" t="str">
        <f t="shared" si="21"/>
        <v/>
      </c>
      <c r="H187" s="2" t="str">
        <f t="shared" si="22"/>
        <v/>
      </c>
      <c r="I187" s="3" t="e">
        <f t="shared" si="23"/>
        <v>#VALUE!</v>
      </c>
    </row>
    <row r="188" spans="1:9" x14ac:dyDescent="0.3">
      <c r="A188" s="4" t="s">
        <v>15</v>
      </c>
      <c r="B188" s="4"/>
      <c r="C188" s="2">
        <f>IFERROR(VLOOKUP(A188,Urunler!A$2:E$201,2,FALSE),"")</f>
        <v>0</v>
      </c>
      <c r="D188" s="2">
        <f>IFERROR(VLOOKUP(A188,Urunler!A$2:E$201,3,FALSE),"")</f>
        <v>0</v>
      </c>
      <c r="E188" s="2" t="str">
        <f>IFERROR(VLOOKUP(A188,Urunler!A$2:E$201,4,FALSE),"")</f>
        <v/>
      </c>
      <c r="F188" s="2" t="str">
        <f t="shared" si="20"/>
        <v/>
      </c>
      <c r="G188" s="2" t="str">
        <f t="shared" si="21"/>
        <v/>
      </c>
      <c r="H188" s="2" t="str">
        <f t="shared" si="22"/>
        <v/>
      </c>
      <c r="I188" s="3" t="e">
        <f t="shared" si="23"/>
        <v>#VALUE!</v>
      </c>
    </row>
    <row r="189" spans="1:9" x14ac:dyDescent="0.3">
      <c r="A189" s="4" t="s">
        <v>15</v>
      </c>
      <c r="B189" s="4"/>
      <c r="C189" s="2">
        <f>IFERROR(VLOOKUP(A189,Urunler!A$2:E$201,2,FALSE),"")</f>
        <v>0</v>
      </c>
      <c r="D189" s="2">
        <f>IFERROR(VLOOKUP(A189,Urunler!A$2:E$201,3,FALSE),"")</f>
        <v>0</v>
      </c>
      <c r="E189" s="2" t="str">
        <f>IFERROR(VLOOKUP(A189,Urunler!A$2:E$201,4,FALSE),"")</f>
        <v/>
      </c>
      <c r="F189" s="2" t="str">
        <f t="shared" si="20"/>
        <v/>
      </c>
      <c r="G189" s="2" t="str">
        <f t="shared" si="21"/>
        <v/>
      </c>
      <c r="H189" s="2" t="str">
        <f t="shared" si="22"/>
        <v/>
      </c>
      <c r="I189" s="3" t="e">
        <f t="shared" si="23"/>
        <v>#VALUE!</v>
      </c>
    </row>
    <row r="190" spans="1:9" x14ac:dyDescent="0.3">
      <c r="A190" s="4" t="s">
        <v>15</v>
      </c>
      <c r="B190" s="4"/>
      <c r="C190" s="2">
        <f>IFERROR(VLOOKUP(A190,Urunler!A$2:E$201,2,FALSE),"")</f>
        <v>0</v>
      </c>
      <c r="D190" s="2">
        <f>IFERROR(VLOOKUP(A190,Urunler!A$2:E$201,3,FALSE),"")</f>
        <v>0</v>
      </c>
      <c r="E190" s="2" t="str">
        <f>IFERROR(VLOOKUP(A190,Urunler!A$2:E$201,4,FALSE),"")</f>
        <v/>
      </c>
      <c r="F190" s="2" t="str">
        <f t="shared" si="20"/>
        <v/>
      </c>
      <c r="G190" s="2" t="str">
        <f t="shared" si="21"/>
        <v/>
      </c>
      <c r="H190" s="2" t="str">
        <f t="shared" si="22"/>
        <v/>
      </c>
      <c r="I190" s="3" t="e">
        <f t="shared" si="23"/>
        <v>#VALUE!</v>
      </c>
    </row>
    <row r="191" spans="1:9" x14ac:dyDescent="0.3">
      <c r="A191" s="4" t="s">
        <v>15</v>
      </c>
      <c r="B191" s="4"/>
      <c r="C191" s="2">
        <f>IFERROR(VLOOKUP(A191,Urunler!A$2:E$201,2,FALSE),"")</f>
        <v>0</v>
      </c>
      <c r="D191" s="2">
        <f>IFERROR(VLOOKUP(A191,Urunler!A$2:E$201,3,FALSE),"")</f>
        <v>0</v>
      </c>
      <c r="E191" s="2" t="str">
        <f>IFERROR(VLOOKUP(A191,Urunler!A$2:E$201,4,FALSE),"")</f>
        <v/>
      </c>
      <c r="F191" s="2" t="str">
        <f t="shared" si="20"/>
        <v/>
      </c>
      <c r="G191" s="2" t="str">
        <f t="shared" si="21"/>
        <v/>
      </c>
      <c r="H191" s="2" t="str">
        <f t="shared" si="22"/>
        <v/>
      </c>
      <c r="I191" s="3" t="e">
        <f t="shared" si="23"/>
        <v>#VALUE!</v>
      </c>
    </row>
    <row r="192" spans="1:9" x14ac:dyDescent="0.3">
      <c r="A192" s="4" t="s">
        <v>15</v>
      </c>
      <c r="B192" s="4"/>
      <c r="C192" s="2">
        <f>IFERROR(VLOOKUP(A192,Urunler!A$2:E$201,2,FALSE),"")</f>
        <v>0</v>
      </c>
      <c r="D192" s="2">
        <f>IFERROR(VLOOKUP(A192,Urunler!A$2:E$201,3,FALSE),"")</f>
        <v>0</v>
      </c>
      <c r="E192" s="2" t="str">
        <f>IFERROR(VLOOKUP(A192,Urunler!A$2:E$201,4,FALSE),"")</f>
        <v/>
      </c>
      <c r="F192" s="2" t="str">
        <f t="shared" si="20"/>
        <v/>
      </c>
      <c r="G192" s="2" t="str">
        <f t="shared" si="21"/>
        <v/>
      </c>
      <c r="H192" s="2" t="str">
        <f t="shared" si="22"/>
        <v/>
      </c>
      <c r="I192" s="3" t="e">
        <f t="shared" si="23"/>
        <v>#VALUE!</v>
      </c>
    </row>
    <row r="193" spans="1:9" x14ac:dyDescent="0.3">
      <c r="A193" s="4" t="s">
        <v>15</v>
      </c>
      <c r="B193" s="4"/>
      <c r="C193" s="2">
        <f>IFERROR(VLOOKUP(A193,Urunler!A$2:E$201,2,FALSE),"")</f>
        <v>0</v>
      </c>
      <c r="D193" s="2">
        <f>IFERROR(VLOOKUP(A193,Urunler!A$2:E$201,3,FALSE),"")</f>
        <v>0</v>
      </c>
      <c r="E193" s="2" t="str">
        <f>IFERROR(VLOOKUP(A193,Urunler!A$2:E$201,4,FALSE),"")</f>
        <v/>
      </c>
      <c r="F193" s="2" t="str">
        <f t="shared" si="20"/>
        <v/>
      </c>
      <c r="G193" s="2" t="str">
        <f t="shared" si="21"/>
        <v/>
      </c>
      <c r="H193" s="2" t="str">
        <f t="shared" si="22"/>
        <v/>
      </c>
      <c r="I193" s="3" t="e">
        <f t="shared" si="23"/>
        <v>#VALUE!</v>
      </c>
    </row>
    <row r="194" spans="1:9" x14ac:dyDescent="0.3">
      <c r="A194" s="4" t="s">
        <v>15</v>
      </c>
      <c r="B194" s="4"/>
      <c r="C194" s="2">
        <f>IFERROR(VLOOKUP(A194,Urunler!A$2:E$201,2,FALSE),"")</f>
        <v>0</v>
      </c>
      <c r="D194" s="2">
        <f>IFERROR(VLOOKUP(A194,Urunler!A$2:E$201,3,FALSE),"")</f>
        <v>0</v>
      </c>
      <c r="E194" s="2" t="str">
        <f>IFERROR(VLOOKUP(A194,Urunler!A$2:E$201,4,FALSE),"")</f>
        <v/>
      </c>
      <c r="F194" s="2" t="str">
        <f t="shared" si="20"/>
        <v/>
      </c>
      <c r="G194" s="2" t="str">
        <f t="shared" si="21"/>
        <v/>
      </c>
      <c r="H194" s="2" t="str">
        <f t="shared" si="22"/>
        <v/>
      </c>
      <c r="I194" s="3" t="e">
        <f t="shared" si="23"/>
        <v>#VALUE!</v>
      </c>
    </row>
    <row r="195" spans="1:9" x14ac:dyDescent="0.3">
      <c r="A195" s="4" t="s">
        <v>15</v>
      </c>
      <c r="B195" s="4"/>
      <c r="C195" s="2">
        <f>IFERROR(VLOOKUP(A195,Urunler!A$2:E$201,2,FALSE),"")</f>
        <v>0</v>
      </c>
      <c r="D195" s="2">
        <f>IFERROR(VLOOKUP(A195,Urunler!A$2:E$201,3,FALSE),"")</f>
        <v>0</v>
      </c>
      <c r="E195" s="2" t="str">
        <f>IFERROR(VLOOKUP(A195,Urunler!A$2:E$201,4,FALSE),"")</f>
        <v/>
      </c>
      <c r="F195" s="2" t="str">
        <f t="shared" si="20"/>
        <v/>
      </c>
      <c r="G195" s="2" t="str">
        <f t="shared" si="21"/>
        <v/>
      </c>
      <c r="H195" s="2" t="str">
        <f t="shared" si="22"/>
        <v/>
      </c>
      <c r="I195" s="3" t="e">
        <f t="shared" si="23"/>
        <v>#VALUE!</v>
      </c>
    </row>
    <row r="196" spans="1:9" x14ac:dyDescent="0.3">
      <c r="A196" s="4" t="s">
        <v>15</v>
      </c>
      <c r="B196" s="4"/>
      <c r="C196" s="2">
        <f>IFERROR(VLOOKUP(A196,Urunler!A$2:E$201,2,FALSE),"")</f>
        <v>0</v>
      </c>
      <c r="D196" s="2">
        <f>IFERROR(VLOOKUP(A196,Urunler!A$2:E$201,3,FALSE),"")</f>
        <v>0</v>
      </c>
      <c r="E196" s="2" t="str">
        <f>IFERROR(VLOOKUP(A196,Urunler!A$2:E$201,4,FALSE),"")</f>
        <v/>
      </c>
      <c r="F196" s="2" t="str">
        <f t="shared" si="20"/>
        <v/>
      </c>
      <c r="G196" s="2" t="str">
        <f t="shared" si="21"/>
        <v/>
      </c>
      <c r="H196" s="2" t="str">
        <f t="shared" si="22"/>
        <v/>
      </c>
      <c r="I196" s="3" t="e">
        <f t="shared" si="23"/>
        <v>#VALUE!</v>
      </c>
    </row>
    <row r="197" spans="1:9" x14ac:dyDescent="0.3">
      <c r="A197" s="4" t="s">
        <v>15</v>
      </c>
      <c r="B197" s="4"/>
      <c r="C197" s="2">
        <f>IFERROR(VLOOKUP(A197,Urunler!A$2:E$201,2,FALSE),"")</f>
        <v>0</v>
      </c>
      <c r="D197" s="2">
        <f>IFERROR(VLOOKUP(A197,Urunler!A$2:E$201,3,FALSE),"")</f>
        <v>0</v>
      </c>
      <c r="E197" s="2" t="str">
        <f>IFERROR(VLOOKUP(A197,Urunler!A$2:E$201,4,FALSE),"")</f>
        <v/>
      </c>
      <c r="F197" s="2" t="str">
        <f t="shared" si="20"/>
        <v/>
      </c>
      <c r="G197" s="2" t="str">
        <f t="shared" si="21"/>
        <v/>
      </c>
      <c r="H197" s="2" t="str">
        <f t="shared" si="22"/>
        <v/>
      </c>
      <c r="I197" s="3" t="e">
        <f t="shared" si="23"/>
        <v>#VALUE!</v>
      </c>
    </row>
    <row r="198" spans="1:9" x14ac:dyDescent="0.3">
      <c r="A198" s="4" t="s">
        <v>15</v>
      </c>
      <c r="B198" s="4"/>
      <c r="C198" s="2">
        <f>IFERROR(VLOOKUP(A198,Urunler!A$2:E$201,2,FALSE),"")</f>
        <v>0</v>
      </c>
      <c r="D198" s="2">
        <f>IFERROR(VLOOKUP(A198,Urunler!A$2:E$201,3,FALSE),"")</f>
        <v>0</v>
      </c>
      <c r="E198" s="2" t="str">
        <f>IFERROR(VLOOKUP(A198,Urunler!A$2:E$201,4,FALSE),"")</f>
        <v/>
      </c>
      <c r="F198" s="2" t="str">
        <f t="shared" ref="F198:F205" si="24">IF(OR(B198="",C198=""),"",B198*C198)</f>
        <v/>
      </c>
      <c r="G198" s="2" t="str">
        <f t="shared" ref="G198:G205" si="25">IF(OR(B198="",D198=""),"",B198*D198)</f>
        <v/>
      </c>
      <c r="H198" s="2" t="str">
        <f t="shared" ref="H198:H205" si="26">IF(OR(B198="",E198=""),"",B198*E198)</f>
        <v/>
      </c>
      <c r="I198" s="3" t="e">
        <f t="shared" ref="I198:I229" si="27">IF(F198=0,"",H198/F198)</f>
        <v>#VALUE!</v>
      </c>
    </row>
    <row r="199" spans="1:9" x14ac:dyDescent="0.3">
      <c r="A199" s="4" t="s">
        <v>15</v>
      </c>
      <c r="B199" s="4"/>
      <c r="C199" s="2">
        <f>IFERROR(VLOOKUP(A199,Urunler!A$2:E$201,2,FALSE),"")</f>
        <v>0</v>
      </c>
      <c r="D199" s="2">
        <f>IFERROR(VLOOKUP(A199,Urunler!A$2:E$201,3,FALSE),"")</f>
        <v>0</v>
      </c>
      <c r="E199" s="2" t="str">
        <f>IFERROR(VLOOKUP(A199,Urunler!A$2:E$201,4,FALSE),"")</f>
        <v/>
      </c>
      <c r="F199" s="2" t="str">
        <f t="shared" si="24"/>
        <v/>
      </c>
      <c r="G199" s="2" t="str">
        <f t="shared" si="25"/>
        <v/>
      </c>
      <c r="H199" s="2" t="str">
        <f t="shared" si="26"/>
        <v/>
      </c>
      <c r="I199" s="3" t="e">
        <f t="shared" si="27"/>
        <v>#VALUE!</v>
      </c>
    </row>
    <row r="200" spans="1:9" x14ac:dyDescent="0.3">
      <c r="A200" s="4" t="s">
        <v>15</v>
      </c>
      <c r="B200" s="4"/>
      <c r="C200" s="2">
        <f>IFERROR(VLOOKUP(A200,Urunler!A$2:E$201,2,FALSE),"")</f>
        <v>0</v>
      </c>
      <c r="D200" s="2">
        <f>IFERROR(VLOOKUP(A200,Urunler!A$2:E$201,3,FALSE),"")</f>
        <v>0</v>
      </c>
      <c r="E200" s="2" t="str">
        <f>IFERROR(VLOOKUP(A200,Urunler!A$2:E$201,4,FALSE),"")</f>
        <v/>
      </c>
      <c r="F200" s="2" t="str">
        <f t="shared" si="24"/>
        <v/>
      </c>
      <c r="G200" s="2" t="str">
        <f t="shared" si="25"/>
        <v/>
      </c>
      <c r="H200" s="2" t="str">
        <f t="shared" si="26"/>
        <v/>
      </c>
      <c r="I200" s="3" t="e">
        <f t="shared" si="27"/>
        <v>#VALUE!</v>
      </c>
    </row>
    <row r="201" spans="1:9" x14ac:dyDescent="0.3">
      <c r="A201" s="4" t="s">
        <v>15</v>
      </c>
      <c r="B201" s="4"/>
      <c r="C201" s="2">
        <f>IFERROR(VLOOKUP(A201,Urunler!A$2:E$201,2,FALSE),"")</f>
        <v>0</v>
      </c>
      <c r="D201" s="2">
        <f>IFERROR(VLOOKUP(A201,Urunler!A$2:E$201,3,FALSE),"")</f>
        <v>0</v>
      </c>
      <c r="E201" s="2" t="str">
        <f>IFERROR(VLOOKUP(A201,Urunler!A$2:E$201,4,FALSE),"")</f>
        <v/>
      </c>
      <c r="F201" s="2" t="str">
        <f t="shared" si="24"/>
        <v/>
      </c>
      <c r="G201" s="2" t="str">
        <f t="shared" si="25"/>
        <v/>
      </c>
      <c r="H201" s="2" t="str">
        <f t="shared" si="26"/>
        <v/>
      </c>
      <c r="I201" s="3" t="e">
        <f t="shared" si="27"/>
        <v>#VALUE!</v>
      </c>
    </row>
    <row r="202" spans="1:9" x14ac:dyDescent="0.3">
      <c r="A202" s="4" t="s">
        <v>15</v>
      </c>
      <c r="B202" s="4"/>
      <c r="C202" s="2">
        <f>IFERROR(VLOOKUP(A202,Urunler!A$2:E$201,2,FALSE),"")</f>
        <v>0</v>
      </c>
      <c r="D202" s="2">
        <f>IFERROR(VLOOKUP(A202,Urunler!A$2:E$201,3,FALSE),"")</f>
        <v>0</v>
      </c>
      <c r="E202" s="2" t="str">
        <f>IFERROR(VLOOKUP(A202,Urunler!A$2:E$201,4,FALSE),"")</f>
        <v/>
      </c>
      <c r="F202" s="2" t="str">
        <f t="shared" si="24"/>
        <v/>
      </c>
      <c r="G202" s="2" t="str">
        <f t="shared" si="25"/>
        <v/>
      </c>
      <c r="H202" s="2" t="str">
        <f t="shared" si="26"/>
        <v/>
      </c>
      <c r="I202" s="3" t="e">
        <f t="shared" si="27"/>
        <v>#VALUE!</v>
      </c>
    </row>
    <row r="203" spans="1:9" x14ac:dyDescent="0.3">
      <c r="A203" s="4" t="s">
        <v>15</v>
      </c>
      <c r="B203" s="4"/>
      <c r="C203" s="2">
        <f>IFERROR(VLOOKUP(A203,Urunler!A$2:E$201,2,FALSE),"")</f>
        <v>0</v>
      </c>
      <c r="D203" s="2">
        <f>IFERROR(VLOOKUP(A203,Urunler!A$2:E$201,3,FALSE),"")</f>
        <v>0</v>
      </c>
      <c r="E203" s="2" t="str">
        <f>IFERROR(VLOOKUP(A203,Urunler!A$2:E$201,4,FALSE),"")</f>
        <v/>
      </c>
      <c r="F203" s="2" t="str">
        <f t="shared" si="24"/>
        <v/>
      </c>
      <c r="G203" s="2" t="str">
        <f t="shared" si="25"/>
        <v/>
      </c>
      <c r="H203" s="2" t="str">
        <f t="shared" si="26"/>
        <v/>
      </c>
      <c r="I203" s="3" t="e">
        <f t="shared" si="27"/>
        <v>#VALUE!</v>
      </c>
    </row>
    <row r="204" spans="1:9" x14ac:dyDescent="0.3">
      <c r="A204" s="4" t="s">
        <v>15</v>
      </c>
      <c r="B204" s="4"/>
      <c r="C204" s="2">
        <f>IFERROR(VLOOKUP(A204,Urunler!A$2:E$201,2,FALSE),"")</f>
        <v>0</v>
      </c>
      <c r="D204" s="2">
        <f>IFERROR(VLOOKUP(A204,Urunler!A$2:E$201,3,FALSE),"")</f>
        <v>0</v>
      </c>
      <c r="E204" s="2" t="str">
        <f>IFERROR(VLOOKUP(A204,Urunler!A$2:E$201,4,FALSE),"")</f>
        <v/>
      </c>
      <c r="F204" s="2" t="str">
        <f t="shared" si="24"/>
        <v/>
      </c>
      <c r="G204" s="2" t="str">
        <f t="shared" si="25"/>
        <v/>
      </c>
      <c r="H204" s="2" t="str">
        <f t="shared" si="26"/>
        <v/>
      </c>
      <c r="I204" s="3" t="e">
        <f t="shared" si="27"/>
        <v>#VALUE!</v>
      </c>
    </row>
    <row r="205" spans="1:9" x14ac:dyDescent="0.3">
      <c r="A205" s="4" t="s">
        <v>15</v>
      </c>
      <c r="B205" s="4"/>
      <c r="C205" s="2">
        <f>IFERROR(VLOOKUP(A205,Urunler!A$2:E$201,2,FALSE),"")</f>
        <v>0</v>
      </c>
      <c r="D205" s="2">
        <f>IFERROR(VLOOKUP(A205,Urunler!A$2:E$201,3,FALSE),"")</f>
        <v>0</v>
      </c>
      <c r="E205" s="2" t="str">
        <f>IFERROR(VLOOKUP(A205,Urunler!A$2:E$201,4,FALSE),"")</f>
        <v/>
      </c>
      <c r="F205" s="2" t="str">
        <f t="shared" si="24"/>
        <v/>
      </c>
      <c r="G205" s="2" t="str">
        <f t="shared" si="25"/>
        <v/>
      </c>
      <c r="H205" s="2" t="str">
        <f t="shared" si="26"/>
        <v/>
      </c>
      <c r="I205" s="3" t="e">
        <f t="shared" si="27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Urunler</vt:lpstr>
      <vt:lpstr>Gunluk Satis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modified xsi:type="dcterms:W3CDTF">2026-04-08T12:12:08Z</dcterms:modified>
</cp:coreProperties>
</file>